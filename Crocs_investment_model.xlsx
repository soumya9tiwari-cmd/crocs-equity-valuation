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oumyatiwari/Downloads/"/>
    </mc:Choice>
  </mc:AlternateContent>
  <xr:revisionPtr revIDLastSave="0" documentId="8_{63C0B66F-BA82-4A46-83BE-B566160900CF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Cover" sheetId="1" r:id="rId1"/>
    <sheet name="Income Statement" sheetId="2" r:id="rId2"/>
    <sheet name="Balance Sheet" sheetId="3" r:id="rId3"/>
    <sheet name="Cash Flow Statement" sheetId="4" r:id="rId4"/>
    <sheet name="NWC" sheetId="7" r:id="rId5"/>
    <sheet name="WACC" sheetId="6" r:id="rId6"/>
    <sheet name="DCF" sheetId="5" r:id="rId7"/>
    <sheet name="Valuation Summary" sheetId="10" r:id="rId8"/>
    <sheet name="Comparable Companies " sheetId="8" r:id="rId9"/>
    <sheet name="Financial Ratios" sheetId="9" r:id="rId10"/>
    <sheet name="Assumptions 1" sheetId="11" r:id="rId11"/>
    <sheet name="Assumption 2" sheetId="12" r:id="rId12"/>
    <sheet name="References" sheetId="13" r:id="rId13"/>
    <sheet name="AS1 Documentation" sheetId="14" r:id="rId1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14" l="1"/>
  <c r="C36" i="14"/>
  <c r="H31" i="12"/>
  <c r="G31" i="12"/>
  <c r="F31" i="12"/>
  <c r="E31" i="12"/>
  <c r="D31" i="12"/>
  <c r="I28" i="3" s="1"/>
  <c r="I18" i="7" s="1"/>
  <c r="H26" i="12"/>
  <c r="G26" i="12"/>
  <c r="F26" i="12"/>
  <c r="E26" i="12"/>
  <c r="D26" i="12"/>
  <c r="H21" i="12"/>
  <c r="G21" i="12"/>
  <c r="F21" i="12"/>
  <c r="E21" i="12"/>
  <c r="D21" i="12"/>
  <c r="H16" i="12"/>
  <c r="M29" i="7" s="1"/>
  <c r="G16" i="12"/>
  <c r="L29" i="7" s="1"/>
  <c r="F16" i="12"/>
  <c r="E16" i="12"/>
  <c r="D16" i="12"/>
  <c r="H11" i="12"/>
  <c r="G11" i="12"/>
  <c r="F11" i="12"/>
  <c r="K28" i="7" s="1"/>
  <c r="E11" i="12"/>
  <c r="J28" i="7" s="1"/>
  <c r="D11" i="12"/>
  <c r="I28" i="7" s="1"/>
  <c r="H6" i="12"/>
  <c r="G6" i="12"/>
  <c r="F6" i="12"/>
  <c r="E6" i="12"/>
  <c r="D6" i="12"/>
  <c r="H36" i="11"/>
  <c r="G36" i="11"/>
  <c r="F36" i="11"/>
  <c r="E36" i="11"/>
  <c r="D36" i="11"/>
  <c r="H26" i="11"/>
  <c r="G26" i="11"/>
  <c r="F26" i="11"/>
  <c r="E26" i="11"/>
  <c r="D26" i="11"/>
  <c r="H21" i="11"/>
  <c r="G21" i="11"/>
  <c r="F21" i="11"/>
  <c r="E21" i="11"/>
  <c r="D21" i="11"/>
  <c r="H16" i="11"/>
  <c r="G16" i="11"/>
  <c r="F16" i="11"/>
  <c r="E16" i="11"/>
  <c r="D16" i="11"/>
  <c r="H11" i="11"/>
  <c r="G11" i="11"/>
  <c r="F11" i="11"/>
  <c r="E11" i="11"/>
  <c r="D11" i="11"/>
  <c r="H6" i="11"/>
  <c r="G6" i="11"/>
  <c r="F6" i="11"/>
  <c r="E6" i="11"/>
  <c r="D6" i="11"/>
  <c r="C28" i="10"/>
  <c r="D22" i="10"/>
  <c r="C20" i="10"/>
  <c r="C14" i="10"/>
  <c r="C12" i="10"/>
  <c r="C10" i="10"/>
  <c r="C9" i="10"/>
  <c r="L49" i="9"/>
  <c r="K49" i="9"/>
  <c r="J49" i="9"/>
  <c r="I49" i="9"/>
  <c r="H49" i="9"/>
  <c r="G49" i="9"/>
  <c r="F49" i="9"/>
  <c r="E49" i="9"/>
  <c r="D49" i="9"/>
  <c r="H46" i="9"/>
  <c r="G46" i="9"/>
  <c r="F46" i="9"/>
  <c r="E46" i="9"/>
  <c r="D46" i="9"/>
  <c r="H39" i="9"/>
  <c r="G39" i="9"/>
  <c r="F39" i="9"/>
  <c r="E39" i="9"/>
  <c r="D39" i="9"/>
  <c r="C39" i="9"/>
  <c r="D38" i="9"/>
  <c r="H34" i="9"/>
  <c r="G34" i="9"/>
  <c r="F34" i="9"/>
  <c r="E34" i="9"/>
  <c r="D34" i="9"/>
  <c r="C34" i="9"/>
  <c r="E33" i="9"/>
  <c r="H32" i="9"/>
  <c r="G32" i="9"/>
  <c r="F32" i="9"/>
  <c r="E32" i="9"/>
  <c r="D32" i="9"/>
  <c r="D33" i="9" s="1"/>
  <c r="C32" i="9"/>
  <c r="H31" i="9"/>
  <c r="G31" i="9"/>
  <c r="F31" i="9"/>
  <c r="E31" i="9"/>
  <c r="D31" i="9"/>
  <c r="C31" i="9"/>
  <c r="H30" i="9"/>
  <c r="H33" i="9" s="1"/>
  <c r="G30" i="9"/>
  <c r="G33" i="9" s="1"/>
  <c r="F30" i="9"/>
  <c r="F33" i="9" s="1"/>
  <c r="E30" i="9"/>
  <c r="D30" i="9"/>
  <c r="C30" i="9"/>
  <c r="C33" i="9" s="1"/>
  <c r="H29" i="9"/>
  <c r="G29" i="9"/>
  <c r="F29" i="9"/>
  <c r="E29" i="9"/>
  <c r="D29" i="9"/>
  <c r="C29" i="9"/>
  <c r="E24" i="9"/>
  <c r="E21" i="9"/>
  <c r="D21" i="9"/>
  <c r="D6" i="9"/>
  <c r="G22" i="8"/>
  <c r="F22" i="8"/>
  <c r="B22" i="8"/>
  <c r="C21" i="8"/>
  <c r="B21" i="8"/>
  <c r="E20" i="8"/>
  <c r="E21" i="8" s="1"/>
  <c r="D20" i="8"/>
  <c r="F20" i="8" s="1"/>
  <c r="G20" i="8" s="1"/>
  <c r="C20" i="8"/>
  <c r="I14" i="8"/>
  <c r="H14" i="8"/>
  <c r="D21" i="10" s="1"/>
  <c r="G14" i="8"/>
  <c r="F14" i="8"/>
  <c r="E14" i="8"/>
  <c r="D14" i="8"/>
  <c r="C14" i="8"/>
  <c r="I13" i="8"/>
  <c r="C22" i="10" s="1"/>
  <c r="H13" i="8"/>
  <c r="C21" i="10" s="1"/>
  <c r="G13" i="8"/>
  <c r="B20" i="8" s="1"/>
  <c r="F13" i="8"/>
  <c r="E13" i="8"/>
  <c r="D13" i="8"/>
  <c r="C13" i="8"/>
  <c r="I12" i="8"/>
  <c r="H12" i="8"/>
  <c r="G12" i="8"/>
  <c r="F12" i="8"/>
  <c r="E12" i="8"/>
  <c r="D12" i="8"/>
  <c r="C12" i="8"/>
  <c r="I11" i="8"/>
  <c r="B22" i="10" s="1"/>
  <c r="H11" i="8"/>
  <c r="B28" i="10" s="1"/>
  <c r="G11" i="8"/>
  <c r="F11" i="8"/>
  <c r="E11" i="8"/>
  <c r="D11" i="8"/>
  <c r="C11" i="8"/>
  <c r="H32" i="7"/>
  <c r="G32" i="7"/>
  <c r="E32" i="7"/>
  <c r="D32" i="7"/>
  <c r="H30" i="7"/>
  <c r="G30" i="7"/>
  <c r="K29" i="7"/>
  <c r="J29" i="7"/>
  <c r="I29" i="7"/>
  <c r="H29" i="7"/>
  <c r="M28" i="7"/>
  <c r="L28" i="7"/>
  <c r="H28" i="7"/>
  <c r="M27" i="7"/>
  <c r="L27" i="7"/>
  <c r="K27" i="7"/>
  <c r="J27" i="7"/>
  <c r="I27" i="7"/>
  <c r="F19" i="7"/>
  <c r="D19" i="7"/>
  <c r="H18" i="7"/>
  <c r="G18" i="7"/>
  <c r="F18" i="7"/>
  <c r="E18" i="7"/>
  <c r="D18" i="7"/>
  <c r="C18" i="7"/>
  <c r="C32" i="7" s="1"/>
  <c r="H17" i="7"/>
  <c r="H31" i="7" s="1"/>
  <c r="G17" i="7"/>
  <c r="G31" i="7" s="1"/>
  <c r="F17" i="7"/>
  <c r="F31" i="7" s="1"/>
  <c r="E17" i="7"/>
  <c r="D17" i="7"/>
  <c r="C17" i="7"/>
  <c r="H16" i="7"/>
  <c r="G16" i="7"/>
  <c r="G29" i="7" s="1"/>
  <c r="F16" i="7"/>
  <c r="F29" i="7" s="1"/>
  <c r="E16" i="7"/>
  <c r="E29" i="7" s="1"/>
  <c r="D16" i="7"/>
  <c r="D29" i="7" s="1"/>
  <c r="C16" i="7"/>
  <c r="H13" i="7"/>
  <c r="G13" i="7"/>
  <c r="F13" i="7"/>
  <c r="H12" i="7"/>
  <c r="G12" i="7"/>
  <c r="F12" i="7"/>
  <c r="E12" i="7"/>
  <c r="E30" i="7" s="1"/>
  <c r="D12" i="7"/>
  <c r="D30" i="7" s="1"/>
  <c r="C12" i="7"/>
  <c r="C30" i="7" s="1"/>
  <c r="H11" i="7"/>
  <c r="G11" i="7"/>
  <c r="G28" i="7" s="1"/>
  <c r="F11" i="7"/>
  <c r="F28" i="7" s="1"/>
  <c r="E11" i="7"/>
  <c r="E28" i="7" s="1"/>
  <c r="D11" i="7"/>
  <c r="D28" i="7" s="1"/>
  <c r="C11" i="7"/>
  <c r="C28" i="7" s="1"/>
  <c r="H10" i="7"/>
  <c r="H27" i="7" s="1"/>
  <c r="G10" i="7"/>
  <c r="G27" i="7" s="1"/>
  <c r="F10" i="7"/>
  <c r="F27" i="7" s="1"/>
  <c r="E10" i="7"/>
  <c r="D10" i="7"/>
  <c r="C10" i="7"/>
  <c r="H7" i="7"/>
  <c r="G7" i="7"/>
  <c r="F7" i="7"/>
  <c r="E7" i="7"/>
  <c r="D7" i="7"/>
  <c r="C7" i="7"/>
  <c r="H6" i="7"/>
  <c r="G6" i="7"/>
  <c r="F6" i="7"/>
  <c r="F30" i="7" s="1"/>
  <c r="E6" i="7"/>
  <c r="E31" i="7" s="1"/>
  <c r="D6" i="7"/>
  <c r="C6" i="7"/>
  <c r="G33" i="6"/>
  <c r="E33" i="6"/>
  <c r="C33" i="6"/>
  <c r="G32" i="6"/>
  <c r="E32" i="6"/>
  <c r="D32" i="6"/>
  <c r="C32" i="6"/>
  <c r="F31" i="6"/>
  <c r="H31" i="6" s="1"/>
  <c r="D31" i="6"/>
  <c r="D30" i="6"/>
  <c r="F30" i="6" s="1"/>
  <c r="H30" i="6" s="1"/>
  <c r="D29" i="6"/>
  <c r="F29" i="6" s="1"/>
  <c r="H29" i="6" s="1"/>
  <c r="D28" i="6"/>
  <c r="F28" i="6" s="1"/>
  <c r="H28" i="6" s="1"/>
  <c r="D27" i="6"/>
  <c r="F27" i="6" s="1"/>
  <c r="H27" i="6" s="1"/>
  <c r="H26" i="6"/>
  <c r="F26" i="6"/>
  <c r="D26" i="6"/>
  <c r="C9" i="6"/>
  <c r="C11" i="6" s="1"/>
  <c r="C6" i="6"/>
  <c r="C5" i="6"/>
  <c r="C45" i="5"/>
  <c r="C44" i="5"/>
  <c r="C27" i="5"/>
  <c r="H26" i="5"/>
  <c r="G26" i="5"/>
  <c r="F26" i="5"/>
  <c r="E26" i="5"/>
  <c r="D26" i="5"/>
  <c r="C26" i="5"/>
  <c r="H25" i="5"/>
  <c r="G25" i="5"/>
  <c r="F25" i="5"/>
  <c r="E25" i="5"/>
  <c r="D25" i="5"/>
  <c r="C25" i="5"/>
  <c r="H16" i="5"/>
  <c r="G16" i="5"/>
  <c r="F16" i="5"/>
  <c r="E16" i="5"/>
  <c r="D16" i="5"/>
  <c r="C16" i="5"/>
  <c r="H15" i="5"/>
  <c r="G15" i="5"/>
  <c r="F15" i="5"/>
  <c r="E15" i="5"/>
  <c r="D15" i="5"/>
  <c r="C15" i="5"/>
  <c r="H12" i="5"/>
  <c r="C12" i="5"/>
  <c r="H10" i="5"/>
  <c r="G10" i="5"/>
  <c r="F10" i="5"/>
  <c r="E10" i="5"/>
  <c r="D10" i="5"/>
  <c r="C10" i="5"/>
  <c r="H7" i="5"/>
  <c r="H8" i="5" s="1"/>
  <c r="G7" i="5"/>
  <c r="G8" i="5" s="1"/>
  <c r="F7" i="5"/>
  <c r="F12" i="5" s="1"/>
  <c r="E7" i="5"/>
  <c r="E12" i="5" s="1"/>
  <c r="D7" i="5"/>
  <c r="C7" i="5"/>
  <c r="I37" i="4"/>
  <c r="M34" i="4"/>
  <c r="L34" i="4"/>
  <c r="K34" i="4"/>
  <c r="J34" i="4"/>
  <c r="I34" i="4"/>
  <c r="H34" i="4"/>
  <c r="G34" i="4"/>
  <c r="F34" i="4"/>
  <c r="E34" i="4"/>
  <c r="D34" i="4"/>
  <c r="C34" i="4"/>
  <c r="G26" i="4"/>
  <c r="F26" i="4"/>
  <c r="E26" i="4"/>
  <c r="D26" i="4"/>
  <c r="C26" i="4"/>
  <c r="I22" i="4"/>
  <c r="I26" i="5" s="1"/>
  <c r="I17" i="4"/>
  <c r="I14" i="4"/>
  <c r="J9" i="4"/>
  <c r="I9" i="4"/>
  <c r="I8" i="4"/>
  <c r="I25" i="5" s="1"/>
  <c r="E32" i="2"/>
  <c r="E31" i="2"/>
  <c r="E28" i="2"/>
  <c r="E25" i="2"/>
  <c r="D25" i="2"/>
  <c r="D28" i="2" s="1"/>
  <c r="H21" i="2"/>
  <c r="G21" i="2"/>
  <c r="F21" i="2"/>
  <c r="E21" i="2"/>
  <c r="H20" i="2"/>
  <c r="G20" i="2"/>
  <c r="F20" i="2"/>
  <c r="E20" i="2"/>
  <c r="E8" i="9" s="1"/>
  <c r="H18" i="2"/>
  <c r="G18" i="2"/>
  <c r="F18" i="2"/>
  <c r="E18" i="2"/>
  <c r="J17" i="2"/>
  <c r="J16" i="5" s="1"/>
  <c r="I17" i="2"/>
  <c r="I16" i="5" s="1"/>
  <c r="H16" i="2"/>
  <c r="G16" i="2"/>
  <c r="F16" i="2"/>
  <c r="E16" i="2"/>
  <c r="D16" i="2"/>
  <c r="C16" i="2"/>
  <c r="H13" i="2"/>
  <c r="G13" i="2"/>
  <c r="F13" i="2"/>
  <c r="H12" i="2"/>
  <c r="H6" i="9" s="1"/>
  <c r="G12" i="2"/>
  <c r="G6" i="9" s="1"/>
  <c r="F12" i="2"/>
  <c r="F6" i="9" s="1"/>
  <c r="E12" i="2"/>
  <c r="E13" i="2" s="1"/>
  <c r="D12" i="2"/>
  <c r="D20" i="2" s="1"/>
  <c r="C12" i="2"/>
  <c r="C6" i="9" s="1"/>
  <c r="H10" i="2"/>
  <c r="G10" i="2"/>
  <c r="F10" i="2"/>
  <c r="E10" i="2"/>
  <c r="D10" i="2"/>
  <c r="C10" i="2"/>
  <c r="J7" i="2"/>
  <c r="I7" i="2"/>
  <c r="H7" i="2"/>
  <c r="G7" i="2"/>
  <c r="F7" i="2"/>
  <c r="E7" i="2"/>
  <c r="D7" i="2"/>
  <c r="J6" i="2"/>
  <c r="I6" i="2"/>
  <c r="H44" i="3"/>
  <c r="G44" i="3"/>
  <c r="F44" i="3"/>
  <c r="E44" i="3"/>
  <c r="E12" i="9" s="1"/>
  <c r="D44" i="3"/>
  <c r="D22" i="9" s="1"/>
  <c r="C44" i="3"/>
  <c r="C22" i="9" s="1"/>
  <c r="M43" i="3"/>
  <c r="I43" i="3"/>
  <c r="J43" i="3" s="1"/>
  <c r="K43" i="3" s="1"/>
  <c r="L43" i="3" s="1"/>
  <c r="J42" i="3"/>
  <c r="K42" i="3" s="1"/>
  <c r="L42" i="3" s="1"/>
  <c r="M42" i="3" s="1"/>
  <c r="I42" i="3"/>
  <c r="I40" i="3"/>
  <c r="H37" i="3"/>
  <c r="H46" i="3" s="1"/>
  <c r="G37" i="3"/>
  <c r="C37" i="3"/>
  <c r="H35" i="3"/>
  <c r="G35" i="3"/>
  <c r="F35" i="3"/>
  <c r="F37" i="3" s="1"/>
  <c r="F46" i="3" s="1"/>
  <c r="E35" i="3"/>
  <c r="E37" i="3" s="1"/>
  <c r="E46" i="3" s="1"/>
  <c r="D35" i="3"/>
  <c r="D37" i="3" s="1"/>
  <c r="D46" i="3" s="1"/>
  <c r="C35" i="3"/>
  <c r="I34" i="3"/>
  <c r="J34" i="3" s="1"/>
  <c r="K34" i="3" s="1"/>
  <c r="L34" i="3" s="1"/>
  <c r="M34" i="3" s="1"/>
  <c r="I33" i="3"/>
  <c r="J33" i="3" s="1"/>
  <c r="K33" i="3" s="1"/>
  <c r="L33" i="3" s="1"/>
  <c r="M33" i="3" s="1"/>
  <c r="I32" i="3"/>
  <c r="I35" i="3" s="1"/>
  <c r="H29" i="3"/>
  <c r="H17" i="9" s="1"/>
  <c r="G29" i="3"/>
  <c r="G17" i="9" s="1"/>
  <c r="F29" i="3"/>
  <c r="F17" i="9" s="1"/>
  <c r="E29" i="3"/>
  <c r="E17" i="9" s="1"/>
  <c r="D29" i="3"/>
  <c r="D17" i="9" s="1"/>
  <c r="C29" i="3"/>
  <c r="C17" i="9" s="1"/>
  <c r="J28" i="3"/>
  <c r="J18" i="7" s="1"/>
  <c r="I27" i="3"/>
  <c r="J26" i="3"/>
  <c r="J25" i="3"/>
  <c r="I25" i="3"/>
  <c r="I16" i="4" s="1"/>
  <c r="I18" i="3"/>
  <c r="H18" i="3"/>
  <c r="G18" i="3"/>
  <c r="F18" i="3"/>
  <c r="E18" i="3"/>
  <c r="D18" i="3"/>
  <c r="C18" i="3"/>
  <c r="J17" i="3"/>
  <c r="K17" i="3" s="1"/>
  <c r="L17" i="3" s="1"/>
  <c r="M17" i="3" s="1"/>
  <c r="I17" i="3"/>
  <c r="I16" i="3"/>
  <c r="J16" i="3" s="1"/>
  <c r="K16" i="3" s="1"/>
  <c r="L16" i="3" s="1"/>
  <c r="M16" i="3" s="1"/>
  <c r="J15" i="3"/>
  <c r="J18" i="3" s="1"/>
  <c r="I15" i="3"/>
  <c r="H12" i="3"/>
  <c r="G12" i="3"/>
  <c r="F12" i="3"/>
  <c r="E12" i="3"/>
  <c r="E15" i="9" s="1"/>
  <c r="D12" i="3"/>
  <c r="D16" i="9" s="1"/>
  <c r="C12" i="3"/>
  <c r="C15" i="9" s="1"/>
  <c r="J11" i="3"/>
  <c r="J12" i="7" s="1"/>
  <c r="I11" i="3"/>
  <c r="I12" i="7" s="1"/>
  <c r="J9" i="3"/>
  <c r="J30" i="9" s="1"/>
  <c r="I9" i="3"/>
  <c r="I12" i="4" s="1"/>
  <c r="D37" i="9" l="1"/>
  <c r="E48" i="9"/>
  <c r="D7" i="4"/>
  <c r="D19" i="4" s="1"/>
  <c r="D9" i="9"/>
  <c r="D11" i="9"/>
  <c r="D29" i="2"/>
  <c r="G16" i="9"/>
  <c r="G15" i="9"/>
  <c r="G20" i="3"/>
  <c r="J17" i="7"/>
  <c r="J31" i="7" s="1"/>
  <c r="J16" i="4"/>
  <c r="H16" i="9"/>
  <c r="H15" i="9"/>
  <c r="H20" i="3"/>
  <c r="F38" i="9"/>
  <c r="F22" i="9"/>
  <c r="F21" i="9"/>
  <c r="J46" i="9"/>
  <c r="J6" i="7"/>
  <c r="J30" i="7" s="1"/>
  <c r="J15" i="2"/>
  <c r="J8" i="4"/>
  <c r="J25" i="5" s="1"/>
  <c r="K6" i="2"/>
  <c r="J39" i="9"/>
  <c r="J7" i="5"/>
  <c r="J18" i="2"/>
  <c r="D12" i="5"/>
  <c r="G22" i="7"/>
  <c r="G21" i="7"/>
  <c r="G24" i="7" s="1"/>
  <c r="G27" i="5" s="1"/>
  <c r="D33" i="6"/>
  <c r="H22" i="7"/>
  <c r="H21" i="7"/>
  <c r="H24" i="7" s="1"/>
  <c r="H27" i="5" s="1"/>
  <c r="B20" i="10"/>
  <c r="B29" i="10"/>
  <c r="C16" i="9"/>
  <c r="C21" i="9"/>
  <c r="E23" i="9"/>
  <c r="E40" i="9"/>
  <c r="G38" i="9"/>
  <c r="G22" i="9"/>
  <c r="G21" i="9"/>
  <c r="G46" i="3"/>
  <c r="E11" i="9"/>
  <c r="E7" i="4"/>
  <c r="E19" i="4" s="1"/>
  <c r="E37" i="9"/>
  <c r="J17" i="4"/>
  <c r="I30" i="9"/>
  <c r="I10" i="7"/>
  <c r="J32" i="3"/>
  <c r="Q9" i="6"/>
  <c r="F33" i="6"/>
  <c r="F32" i="6"/>
  <c r="C29" i="10"/>
  <c r="D20" i="10"/>
  <c r="B21" i="10"/>
  <c r="C13" i="7"/>
  <c r="C27" i="7"/>
  <c r="C19" i="7"/>
  <c r="F32" i="7"/>
  <c r="E16" i="9"/>
  <c r="C38" i="9"/>
  <c r="I23" i="2"/>
  <c r="C20" i="2"/>
  <c r="C13" i="2"/>
  <c r="J27" i="3"/>
  <c r="J23" i="2" s="1"/>
  <c r="D18" i="5"/>
  <c r="D8" i="9"/>
  <c r="D41" i="9"/>
  <c r="D24" i="9"/>
  <c r="D21" i="2"/>
  <c r="F41" i="9"/>
  <c r="F24" i="9"/>
  <c r="F12" i="9"/>
  <c r="F8" i="9"/>
  <c r="F18" i="5"/>
  <c r="F25" i="2"/>
  <c r="F28" i="2" s="1"/>
  <c r="F48" i="9" s="1"/>
  <c r="D31" i="2"/>
  <c r="J14" i="4"/>
  <c r="I26" i="4"/>
  <c r="D13" i="7"/>
  <c r="D27" i="7"/>
  <c r="D12" i="9"/>
  <c r="J10" i="7"/>
  <c r="J12" i="4"/>
  <c r="C20" i="3"/>
  <c r="E20" i="3"/>
  <c r="J40" i="3"/>
  <c r="C46" i="3"/>
  <c r="G41" i="9"/>
  <c r="G24" i="9"/>
  <c r="G12" i="9"/>
  <c r="G8" i="9"/>
  <c r="G18" i="5"/>
  <c r="G25" i="2"/>
  <c r="G28" i="2" s="1"/>
  <c r="G31" i="2"/>
  <c r="J22" i="4"/>
  <c r="E27" i="7"/>
  <c r="I17" i="7"/>
  <c r="I31" i="7" s="1"/>
  <c r="E19" i="7"/>
  <c r="E9" i="9"/>
  <c r="H32" i="6"/>
  <c r="D20" i="3"/>
  <c r="D15" i="9"/>
  <c r="F16" i="9"/>
  <c r="F15" i="9"/>
  <c r="F20" i="3"/>
  <c r="H41" i="9"/>
  <c r="H24" i="9"/>
  <c r="H12" i="9"/>
  <c r="H8" i="9"/>
  <c r="H31" i="2"/>
  <c r="H18" i="5"/>
  <c r="H25" i="2"/>
  <c r="H28" i="2" s="1"/>
  <c r="F31" i="2"/>
  <c r="H19" i="7"/>
  <c r="G19" i="7"/>
  <c r="E7" i="9"/>
  <c r="E10" i="9"/>
  <c r="J9" i="2"/>
  <c r="E29" i="2"/>
  <c r="D8" i="5"/>
  <c r="H33" i="6"/>
  <c r="C16" i="6" s="1"/>
  <c r="C17" i="6" s="1"/>
  <c r="C19" i="6" s="1"/>
  <c r="E22" i="9"/>
  <c r="E38" i="9"/>
  <c r="I46" i="9"/>
  <c r="I6" i="7"/>
  <c r="I39" i="9"/>
  <c r="I34" i="9"/>
  <c r="I7" i="5"/>
  <c r="I26" i="3"/>
  <c r="I15" i="2"/>
  <c r="I9" i="2"/>
  <c r="I12" i="2" s="1"/>
  <c r="I18" i="2"/>
  <c r="E8" i="5"/>
  <c r="F22" i="7"/>
  <c r="F21" i="7"/>
  <c r="J34" i="9"/>
  <c r="C29" i="7"/>
  <c r="D21" i="8"/>
  <c r="F21" i="8" s="1"/>
  <c r="G21" i="8" s="1"/>
  <c r="E18" i="5"/>
  <c r="E6" i="9"/>
  <c r="E41" i="9"/>
  <c r="D13" i="2"/>
  <c r="C31" i="7"/>
  <c r="H38" i="9"/>
  <c r="H22" i="9"/>
  <c r="H21" i="9"/>
  <c r="D31" i="7"/>
  <c r="G12" i="5"/>
  <c r="E13" i="7"/>
  <c r="F8" i="5"/>
  <c r="I6" i="9" l="1"/>
  <c r="I20" i="2"/>
  <c r="I13" i="2"/>
  <c r="K6" i="7"/>
  <c r="K8" i="4"/>
  <c r="K25" i="5" s="1"/>
  <c r="L6" i="2"/>
  <c r="K9" i="3"/>
  <c r="K39" i="9"/>
  <c r="K7" i="2"/>
  <c r="K34" i="9"/>
  <c r="K15" i="2"/>
  <c r="K9" i="2"/>
  <c r="K46" i="9"/>
  <c r="K22" i="4"/>
  <c r="K7" i="5"/>
  <c r="K17" i="2"/>
  <c r="K12" i="2"/>
  <c r="K26" i="3"/>
  <c r="K25" i="3"/>
  <c r="K9" i="4"/>
  <c r="K28" i="3"/>
  <c r="J32" i="7"/>
  <c r="F40" i="9"/>
  <c r="F23" i="9"/>
  <c r="F7" i="9"/>
  <c r="F32" i="2"/>
  <c r="F47" i="9"/>
  <c r="F28" i="9"/>
  <c r="F48" i="3"/>
  <c r="K40" i="3"/>
  <c r="D40" i="9"/>
  <c r="D47" i="9"/>
  <c r="D7" i="9"/>
  <c r="D32" i="2"/>
  <c r="D23" i="9"/>
  <c r="J12" i="5"/>
  <c r="J8" i="5"/>
  <c r="H28" i="9"/>
  <c r="H48" i="3"/>
  <c r="I7" i="7"/>
  <c r="I24" i="3"/>
  <c r="I10" i="2"/>
  <c r="I10" i="3"/>
  <c r="I10" i="5"/>
  <c r="J26" i="5"/>
  <c r="J26" i="4"/>
  <c r="E48" i="3"/>
  <c r="E28" i="9"/>
  <c r="F37" i="9"/>
  <c r="F11" i="9"/>
  <c r="F10" i="9"/>
  <c r="F9" i="9"/>
  <c r="F7" i="4"/>
  <c r="F19" i="4" s="1"/>
  <c r="F29" i="2"/>
  <c r="G48" i="9"/>
  <c r="D23" i="5"/>
  <c r="D29" i="5" s="1"/>
  <c r="D21" i="5"/>
  <c r="D19" i="5"/>
  <c r="I16" i="2"/>
  <c r="I15" i="5"/>
  <c r="E23" i="5"/>
  <c r="E29" i="5" s="1"/>
  <c r="E21" i="5"/>
  <c r="E19" i="5"/>
  <c r="G40" i="9"/>
  <c r="G23" i="9"/>
  <c r="G7" i="9"/>
  <c r="G32" i="2"/>
  <c r="G47" i="9"/>
  <c r="H19" i="5"/>
  <c r="H21" i="5"/>
  <c r="H23" i="5" s="1"/>
  <c r="H29" i="5" s="1"/>
  <c r="I8" i="5"/>
  <c r="I12" i="5"/>
  <c r="H40" i="9"/>
  <c r="H23" i="9"/>
  <c r="H7" i="9"/>
  <c r="H47" i="9"/>
  <c r="H32" i="2"/>
  <c r="D48" i="3"/>
  <c r="D28" i="9"/>
  <c r="J16" i="2"/>
  <c r="J15" i="5"/>
  <c r="C18" i="5"/>
  <c r="C24" i="9"/>
  <c r="C21" i="2"/>
  <c r="C8" i="9"/>
  <c r="C31" i="2"/>
  <c r="C41" i="9"/>
  <c r="C12" i="9"/>
  <c r="C25" i="2"/>
  <c r="C28" i="2" s="1"/>
  <c r="F24" i="7"/>
  <c r="F27" i="5" s="1"/>
  <c r="D10" i="9"/>
  <c r="E22" i="7"/>
  <c r="E21" i="7"/>
  <c r="E24" i="7" s="1"/>
  <c r="E27" i="5" s="1"/>
  <c r="C21" i="7"/>
  <c r="C22" i="7"/>
  <c r="G28" i="9"/>
  <c r="G48" i="3"/>
  <c r="D36" i="4"/>
  <c r="D39" i="4" s="1"/>
  <c r="D25" i="9"/>
  <c r="D42" i="9"/>
  <c r="D18" i="9"/>
  <c r="K11" i="3"/>
  <c r="D22" i="7"/>
  <c r="D21" i="7"/>
  <c r="D24" i="7" s="1"/>
  <c r="D27" i="5" s="1"/>
  <c r="C42" i="6"/>
  <c r="C40" i="6"/>
  <c r="C38" i="6"/>
  <c r="B42" i="6"/>
  <c r="B40" i="6"/>
  <c r="B38" i="6"/>
  <c r="F41" i="6"/>
  <c r="F39" i="6"/>
  <c r="F37" i="6"/>
  <c r="D42" i="6"/>
  <c r="D40" i="6"/>
  <c r="D38" i="6"/>
  <c r="D41" i="6"/>
  <c r="E38" i="6"/>
  <c r="C41" i="6"/>
  <c r="E37" i="6"/>
  <c r="B41" i="6"/>
  <c r="D37" i="6"/>
  <c r="E41" i="6"/>
  <c r="F38" i="6"/>
  <c r="B37" i="6"/>
  <c r="F42" i="6"/>
  <c r="E42" i="6"/>
  <c r="F40" i="6"/>
  <c r="E40" i="6"/>
  <c r="E39" i="6"/>
  <c r="D39" i="6"/>
  <c r="C39" i="6"/>
  <c r="B39" i="6"/>
  <c r="C37" i="6"/>
  <c r="C22" i="6"/>
  <c r="F21" i="5"/>
  <c r="F23" i="5" s="1"/>
  <c r="F29" i="5" s="1"/>
  <c r="F19" i="5"/>
  <c r="G37" i="9"/>
  <c r="G11" i="9"/>
  <c r="G10" i="9"/>
  <c r="G9" i="9"/>
  <c r="G7" i="4"/>
  <c r="G19" i="4" s="1"/>
  <c r="H48" i="9"/>
  <c r="G29" i="2"/>
  <c r="K27" i="3"/>
  <c r="K23" i="2" s="1"/>
  <c r="K32" i="3"/>
  <c r="J35" i="3"/>
  <c r="I32" i="7"/>
  <c r="I30" i="7"/>
  <c r="E36" i="4"/>
  <c r="E39" i="4" s="1"/>
  <c r="E25" i="9"/>
  <c r="E18" i="9"/>
  <c r="E42" i="9"/>
  <c r="E50" i="9"/>
  <c r="K15" i="3"/>
  <c r="H37" i="9"/>
  <c r="H11" i="9"/>
  <c r="H10" i="9"/>
  <c r="H9" i="9"/>
  <c r="I48" i="9"/>
  <c r="H29" i="2"/>
  <c r="H7" i="4"/>
  <c r="H19" i="4" s="1"/>
  <c r="C28" i="9"/>
  <c r="C48" i="3"/>
  <c r="G21" i="5"/>
  <c r="G23" i="5" s="1"/>
  <c r="G29" i="5" s="1"/>
  <c r="G19" i="5"/>
  <c r="J7" i="7"/>
  <c r="J10" i="5"/>
  <c r="J10" i="2"/>
  <c r="J10" i="3"/>
  <c r="J29" i="9" s="1"/>
  <c r="J24" i="3"/>
  <c r="J12" i="2"/>
  <c r="E47" i="9"/>
  <c r="K12" i="7" l="1"/>
  <c r="K30" i="7" s="1"/>
  <c r="K14" i="4"/>
  <c r="K17" i="7"/>
  <c r="K31" i="7" s="1"/>
  <c r="K16" i="4"/>
  <c r="K35" i="3"/>
  <c r="L32" i="3"/>
  <c r="C19" i="5"/>
  <c r="C21" i="5"/>
  <c r="C23" i="5" s="1"/>
  <c r="C29" i="5" s="1"/>
  <c r="L15" i="3"/>
  <c r="K18" i="3"/>
  <c r="K6" i="9"/>
  <c r="K20" i="2"/>
  <c r="K13" i="2"/>
  <c r="K12" i="4"/>
  <c r="K10" i="7"/>
  <c r="K30" i="9"/>
  <c r="J6" i="9"/>
  <c r="J20" i="2"/>
  <c r="J13" i="2"/>
  <c r="F42" i="9"/>
  <c r="F25" i="9"/>
  <c r="F18" i="9"/>
  <c r="F36" i="4"/>
  <c r="F39" i="4" s="1"/>
  <c r="F50" i="9"/>
  <c r="I31" i="9"/>
  <c r="I33" i="9" s="1"/>
  <c r="I11" i="7"/>
  <c r="I13" i="7" s="1"/>
  <c r="I13" i="4"/>
  <c r="D48" i="9"/>
  <c r="C10" i="9"/>
  <c r="C37" i="9"/>
  <c r="C29" i="2"/>
  <c r="C9" i="9"/>
  <c r="C11" i="9"/>
  <c r="C7" i="4"/>
  <c r="C19" i="4" s="1"/>
  <c r="K18" i="2"/>
  <c r="K16" i="5"/>
  <c r="L8" i="4"/>
  <c r="L25" i="5" s="1"/>
  <c r="M6" i="2"/>
  <c r="L11" i="3"/>
  <c r="L17" i="2"/>
  <c r="L39" i="9"/>
  <c r="L7" i="2"/>
  <c r="L6" i="7"/>
  <c r="L9" i="4"/>
  <c r="L46" i="9"/>
  <c r="L7" i="5"/>
  <c r="L26" i="3"/>
  <c r="L15" i="2"/>
  <c r="L9" i="2"/>
  <c r="L28" i="3"/>
  <c r="L22" i="4"/>
  <c r="L25" i="3"/>
  <c r="L9" i="3"/>
  <c r="I32" i="9"/>
  <c r="I15" i="4"/>
  <c r="I16" i="7"/>
  <c r="I19" i="7" s="1"/>
  <c r="I29" i="3"/>
  <c r="I37" i="3" s="1"/>
  <c r="K8" i="5"/>
  <c r="K12" i="5"/>
  <c r="C40" i="9"/>
  <c r="C23" i="9"/>
  <c r="C7" i="9"/>
  <c r="C32" i="2"/>
  <c r="I29" i="9"/>
  <c r="L40" i="3"/>
  <c r="K26" i="5"/>
  <c r="K26" i="4"/>
  <c r="K31" i="5"/>
  <c r="K33" i="5" s="1"/>
  <c r="J31" i="5"/>
  <c r="J33" i="5" s="1"/>
  <c r="I31" i="5"/>
  <c r="I33" i="5" s="1"/>
  <c r="L31" i="5"/>
  <c r="L33" i="5" s="1"/>
  <c r="M31" i="5"/>
  <c r="M33" i="5" s="1"/>
  <c r="K18" i="7"/>
  <c r="K32" i="7" s="1"/>
  <c r="K17" i="4"/>
  <c r="K7" i="7"/>
  <c r="K10" i="5"/>
  <c r="K24" i="3"/>
  <c r="K10" i="2"/>
  <c r="K10" i="3"/>
  <c r="I41" i="9"/>
  <c r="I24" i="9"/>
  <c r="I8" i="9"/>
  <c r="I31" i="2"/>
  <c r="I25" i="2"/>
  <c r="I21" i="2"/>
  <c r="I18" i="5"/>
  <c r="J15" i="4"/>
  <c r="J16" i="7"/>
  <c r="J19" i="7" s="1"/>
  <c r="J32" i="9"/>
  <c r="J29" i="3"/>
  <c r="J37" i="3" s="1"/>
  <c r="H42" i="9"/>
  <c r="H25" i="9"/>
  <c r="H18" i="9"/>
  <c r="H36" i="4"/>
  <c r="H39" i="4" s="1"/>
  <c r="H50" i="9"/>
  <c r="L27" i="3"/>
  <c r="L23" i="2"/>
  <c r="J11" i="7"/>
  <c r="J13" i="7" s="1"/>
  <c r="J31" i="9"/>
  <c r="J13" i="4"/>
  <c r="G42" i="9"/>
  <c r="G25" i="9"/>
  <c r="G18" i="9"/>
  <c r="G36" i="4"/>
  <c r="G39" i="4" s="1"/>
  <c r="G50" i="9"/>
  <c r="K16" i="2"/>
  <c r="K15" i="5"/>
  <c r="L26" i="5" l="1"/>
  <c r="L26" i="4"/>
  <c r="C36" i="4"/>
  <c r="C39" i="4" s="1"/>
  <c r="C18" i="9"/>
  <c r="C25" i="9"/>
  <c r="C42" i="9"/>
  <c r="D50" i="9"/>
  <c r="L17" i="4"/>
  <c r="L18" i="7"/>
  <c r="L32" i="7" s="1"/>
  <c r="I47" i="9"/>
  <c r="I40" i="9"/>
  <c r="I7" i="9"/>
  <c r="I32" i="2"/>
  <c r="M40" i="3"/>
  <c r="L12" i="7"/>
  <c r="L30" i="7" s="1"/>
  <c r="L14" i="4"/>
  <c r="L18" i="3"/>
  <c r="M15" i="3"/>
  <c r="M18" i="3" s="1"/>
  <c r="J33" i="9"/>
  <c r="M7" i="2"/>
  <c r="M17" i="2"/>
  <c r="M8" i="4"/>
  <c r="M25" i="5" s="1"/>
  <c r="M9" i="4"/>
  <c r="M28" i="3"/>
  <c r="M22" i="4"/>
  <c r="M6" i="7"/>
  <c r="M9" i="3"/>
  <c r="M12" i="2"/>
  <c r="M15" i="2"/>
  <c r="M26" i="3"/>
  <c r="M11" i="3"/>
  <c r="M9" i="2"/>
  <c r="M7" i="5"/>
  <c r="M25" i="3"/>
  <c r="J41" i="9"/>
  <c r="J8" i="9"/>
  <c r="J31" i="2"/>
  <c r="J21" i="2"/>
  <c r="J24" i="9"/>
  <c r="J25" i="2"/>
  <c r="J18" i="5"/>
  <c r="J21" i="7"/>
  <c r="J24" i="7" s="1"/>
  <c r="J27" i="5" s="1"/>
  <c r="J22" i="7"/>
  <c r="L8" i="5"/>
  <c r="L12" i="4"/>
  <c r="L10" i="7"/>
  <c r="L30" i="9"/>
  <c r="I21" i="7"/>
  <c r="I24" i="7" s="1"/>
  <c r="I27" i="5" s="1"/>
  <c r="I22" i="7"/>
  <c r="K13" i="7"/>
  <c r="L35" i="3"/>
  <c r="M32" i="3"/>
  <c r="M35" i="3" s="1"/>
  <c r="K13" i="4"/>
  <c r="K11" i="7"/>
  <c r="K31" i="9"/>
  <c r="K33" i="9" s="1"/>
  <c r="K18" i="5"/>
  <c r="K41" i="9"/>
  <c r="K21" i="2"/>
  <c r="K24" i="9"/>
  <c r="K25" i="2"/>
  <c r="K8" i="9"/>
  <c r="K31" i="2"/>
  <c r="L17" i="7"/>
  <c r="L31" i="7" s="1"/>
  <c r="L16" i="4"/>
  <c r="K29" i="9"/>
  <c r="K16" i="7"/>
  <c r="K19" i="7" s="1"/>
  <c r="K15" i="4"/>
  <c r="K32" i="9"/>
  <c r="K29" i="3"/>
  <c r="K37" i="3" s="1"/>
  <c r="L15" i="5"/>
  <c r="L16" i="2"/>
  <c r="L34" i="9"/>
  <c r="M27" i="3"/>
  <c r="M23" i="2" s="1"/>
  <c r="I21" i="5"/>
  <c r="I23" i="5" s="1"/>
  <c r="I29" i="5" s="1"/>
  <c r="I19" i="5"/>
  <c r="L10" i="5"/>
  <c r="L12" i="5" s="1"/>
  <c r="L7" i="7"/>
  <c r="L24" i="3"/>
  <c r="L29" i="9"/>
  <c r="L10" i="2"/>
  <c r="L10" i="3"/>
  <c r="I28" i="2"/>
  <c r="I26" i="2"/>
  <c r="L12" i="2"/>
  <c r="L16" i="5"/>
  <c r="L18" i="2"/>
  <c r="I35" i="5" l="1"/>
  <c r="M20" i="2"/>
  <c r="M13" i="2"/>
  <c r="L16" i="7"/>
  <c r="L19" i="7" s="1"/>
  <c r="L15" i="4"/>
  <c r="L32" i="9"/>
  <c r="L29" i="3"/>
  <c r="L37" i="3" s="1"/>
  <c r="J47" i="9"/>
  <c r="J7" i="9"/>
  <c r="J32" i="2"/>
  <c r="J40" i="9"/>
  <c r="M12" i="4"/>
  <c r="M10" i="7"/>
  <c r="L13" i="7"/>
  <c r="K47" i="9"/>
  <c r="K7" i="9"/>
  <c r="K32" i="2"/>
  <c r="K40" i="9"/>
  <c r="M26" i="5"/>
  <c r="M26" i="4"/>
  <c r="L20" i="2"/>
  <c r="L6" i="9"/>
  <c r="L13" i="2"/>
  <c r="K28" i="2"/>
  <c r="K26" i="2"/>
  <c r="M17" i="7"/>
  <c r="M31" i="7" s="1"/>
  <c r="M16" i="4"/>
  <c r="M17" i="4"/>
  <c r="M18" i="7"/>
  <c r="M32" i="7" s="1"/>
  <c r="M8" i="5"/>
  <c r="K22" i="7"/>
  <c r="K21" i="7"/>
  <c r="K24" i="7" s="1"/>
  <c r="K27" i="5" s="1"/>
  <c r="J21" i="5"/>
  <c r="J23" i="5" s="1"/>
  <c r="J29" i="5" s="1"/>
  <c r="J19" i="5"/>
  <c r="M10" i="5"/>
  <c r="M12" i="5" s="1"/>
  <c r="M10" i="3"/>
  <c r="M24" i="3"/>
  <c r="M7" i="7"/>
  <c r="M10" i="2"/>
  <c r="M12" i="7"/>
  <c r="M30" i="7" s="1"/>
  <c r="M14" i="4"/>
  <c r="J26" i="2"/>
  <c r="J28" i="2" s="1"/>
  <c r="I37" i="9"/>
  <c r="I9" i="9"/>
  <c r="I29" i="2"/>
  <c r="I41" i="3"/>
  <c r="I7" i="4"/>
  <c r="I19" i="4" s="1"/>
  <c r="M16" i="5"/>
  <c r="M18" i="2"/>
  <c r="L13" i="4"/>
  <c r="L11" i="7"/>
  <c r="L31" i="9"/>
  <c r="K21" i="5"/>
  <c r="K19" i="5"/>
  <c r="K23" i="5"/>
  <c r="K29" i="5" s="1"/>
  <c r="K35" i="5" s="1"/>
  <c r="L33" i="9"/>
  <c r="M15" i="5"/>
  <c r="M16" i="2"/>
  <c r="J35" i="5" l="1"/>
  <c r="K48" i="9"/>
  <c r="J29" i="2"/>
  <c r="J9" i="9"/>
  <c r="J37" i="9"/>
  <c r="J7" i="4"/>
  <c r="J19" i="4" s="1"/>
  <c r="J48" i="9"/>
  <c r="M13" i="4"/>
  <c r="M11" i="7"/>
  <c r="M13" i="7" s="1"/>
  <c r="I42" i="9"/>
  <c r="I25" i="9"/>
  <c r="I18" i="9"/>
  <c r="I50" i="9"/>
  <c r="J41" i="3"/>
  <c r="I44" i="3"/>
  <c r="M18" i="5"/>
  <c r="M21" i="2"/>
  <c r="M31" i="2"/>
  <c r="M32" i="2" s="1"/>
  <c r="M25" i="2"/>
  <c r="K9" i="9"/>
  <c r="K29" i="2"/>
  <c r="K7" i="4"/>
  <c r="K19" i="4" s="1"/>
  <c r="K37" i="9"/>
  <c r="L22" i="7"/>
  <c r="L21" i="7"/>
  <c r="L24" i="7" s="1"/>
  <c r="L27" i="5" s="1"/>
  <c r="M16" i="7"/>
  <c r="M19" i="7" s="1"/>
  <c r="M15" i="4"/>
  <c r="M29" i="3"/>
  <c r="M37" i="3" s="1"/>
  <c r="L18" i="5"/>
  <c r="L21" i="2"/>
  <c r="L41" i="9"/>
  <c r="L31" i="2"/>
  <c r="L24" i="9"/>
  <c r="L25" i="2"/>
  <c r="L8" i="9"/>
  <c r="M22" i="7" l="1"/>
  <c r="M21" i="7"/>
  <c r="M24" i="7" s="1"/>
  <c r="M27" i="5" s="1"/>
  <c r="K41" i="3"/>
  <c r="J44" i="3"/>
  <c r="J50" i="9"/>
  <c r="J25" i="9"/>
  <c r="J18" i="9"/>
  <c r="J42" i="9"/>
  <c r="L19" i="5"/>
  <c r="L21" i="5"/>
  <c r="L23" i="5"/>
  <c r="L29" i="5" s="1"/>
  <c r="M26" i="2"/>
  <c r="M28" i="2"/>
  <c r="L26" i="2"/>
  <c r="L28" i="2"/>
  <c r="L47" i="9"/>
  <c r="L32" i="2"/>
  <c r="L40" i="9"/>
  <c r="L7" i="9"/>
  <c r="M19" i="5"/>
  <c r="M21" i="5"/>
  <c r="M23" i="5" s="1"/>
  <c r="M29" i="5" s="1"/>
  <c r="K50" i="9"/>
  <c r="K25" i="9"/>
  <c r="K18" i="9"/>
  <c r="K42" i="9"/>
  <c r="I38" i="9"/>
  <c r="I22" i="9"/>
  <c r="I21" i="9"/>
  <c r="I12" i="9"/>
  <c r="I46" i="3"/>
  <c r="I8" i="3" s="1"/>
  <c r="I11" i="9"/>
  <c r="C40" i="5" l="1"/>
  <c r="C41" i="5" s="1"/>
  <c r="C42" i="5" s="1"/>
  <c r="C7" i="10" s="1"/>
  <c r="M35" i="5"/>
  <c r="L9" i="9"/>
  <c r="L37" i="9"/>
  <c r="L7" i="4"/>
  <c r="L19" i="4" s="1"/>
  <c r="L29" i="2"/>
  <c r="L48" i="9"/>
  <c r="J38" i="9"/>
  <c r="J22" i="9"/>
  <c r="J21" i="9"/>
  <c r="J46" i="3"/>
  <c r="J8" i="3" s="1"/>
  <c r="J12" i="9"/>
  <c r="J11" i="9"/>
  <c r="M7" i="4"/>
  <c r="M19" i="4" s="1"/>
  <c r="M29" i="2"/>
  <c r="L41" i="3"/>
  <c r="K44" i="3"/>
  <c r="I39" i="4"/>
  <c r="I36" i="4" s="1"/>
  <c r="J37" i="4"/>
  <c r="I17" i="9"/>
  <c r="I12" i="3"/>
  <c r="I23" i="9"/>
  <c r="L35" i="5"/>
  <c r="C38" i="5" s="1"/>
  <c r="I57" i="5"/>
  <c r="C59" i="5"/>
  <c r="F55" i="5"/>
  <c r="D59" i="5"/>
  <c r="E60" i="5"/>
  <c r="F57" i="5"/>
  <c r="I56" i="5"/>
  <c r="E59" i="5"/>
  <c r="H57" i="5"/>
  <c r="I55" i="5"/>
  <c r="C56" i="5"/>
  <c r="D57" i="5"/>
  <c r="F56" i="5"/>
  <c r="I59" i="5"/>
  <c r="C58" i="5"/>
  <c r="E58" i="5"/>
  <c r="G56" i="5"/>
  <c r="G60" i="5"/>
  <c r="H58" i="5"/>
  <c r="G59" i="5"/>
  <c r="G55" i="5"/>
  <c r="G57" i="5"/>
  <c r="H60" i="5"/>
  <c r="D55" i="5"/>
  <c r="C60" i="5"/>
  <c r="I58" i="5"/>
  <c r="F60" i="5"/>
  <c r="H59" i="5"/>
  <c r="H56" i="5"/>
  <c r="H55" i="5"/>
  <c r="F59" i="5"/>
  <c r="E57" i="5"/>
  <c r="I60" i="5"/>
  <c r="F58" i="5"/>
  <c r="E56" i="5"/>
  <c r="D56" i="5"/>
  <c r="E55" i="5"/>
  <c r="D60" i="5"/>
  <c r="C55" i="5"/>
  <c r="G58" i="5"/>
  <c r="D58" i="5"/>
  <c r="C57" i="5"/>
  <c r="D13" i="10" l="1"/>
  <c r="D15" i="10"/>
  <c r="C27" i="10"/>
  <c r="M41" i="3"/>
  <c r="M44" i="3" s="1"/>
  <c r="M46" i="3" s="1"/>
  <c r="M8" i="3" s="1"/>
  <c r="L44" i="3"/>
  <c r="L50" i="9"/>
  <c r="L42" i="9"/>
  <c r="L25" i="9"/>
  <c r="L18" i="9"/>
  <c r="K38" i="9"/>
  <c r="K22" i="9"/>
  <c r="K21" i="9"/>
  <c r="K12" i="9"/>
  <c r="K46" i="3"/>
  <c r="K8" i="3" s="1"/>
  <c r="K11" i="9"/>
  <c r="B15" i="10"/>
  <c r="B13" i="10"/>
  <c r="B27" i="10"/>
  <c r="I16" i="9"/>
  <c r="I15" i="9"/>
  <c r="I20" i="3"/>
  <c r="J39" i="4"/>
  <c r="J36" i="4" s="1"/>
  <c r="K37" i="4"/>
  <c r="J12" i="3"/>
  <c r="J17" i="9"/>
  <c r="J23" i="9"/>
  <c r="C6" i="10"/>
  <c r="C43" i="5"/>
  <c r="J15" i="9" l="1"/>
  <c r="J16" i="9"/>
  <c r="J20" i="3"/>
  <c r="L38" i="9"/>
  <c r="L21" i="9"/>
  <c r="L22" i="9"/>
  <c r="L46" i="3"/>
  <c r="L8" i="3" s="1"/>
  <c r="L12" i="9"/>
  <c r="L11" i="9"/>
  <c r="M39" i="4"/>
  <c r="M12" i="3"/>
  <c r="M20" i="3" s="1"/>
  <c r="M48" i="3" s="1"/>
  <c r="C47" i="5"/>
  <c r="C8" i="10"/>
  <c r="K12" i="3"/>
  <c r="K17" i="9"/>
  <c r="K39" i="4"/>
  <c r="K36" i="4" s="1"/>
  <c r="L37" i="4"/>
  <c r="K23" i="9"/>
  <c r="I48" i="3"/>
  <c r="I28" i="9"/>
  <c r="I10" i="9"/>
  <c r="L17" i="9" l="1"/>
  <c r="M37" i="4"/>
  <c r="L12" i="3"/>
  <c r="L39" i="4"/>
  <c r="L36" i="4" s="1"/>
  <c r="L23" i="9"/>
  <c r="C49" i="5"/>
  <c r="C11" i="10"/>
  <c r="M36" i="4"/>
  <c r="K16" i="9"/>
  <c r="K15" i="9"/>
  <c r="K20" i="3"/>
  <c r="J48" i="3"/>
  <c r="J28" i="9"/>
  <c r="J10" i="9"/>
  <c r="C13" i="10" l="1"/>
  <c r="C51" i="5"/>
  <c r="C15" i="10" s="1"/>
  <c r="L16" i="9"/>
  <c r="L20" i="3"/>
  <c r="L15" i="9"/>
  <c r="K48" i="3"/>
  <c r="K28" i="9"/>
  <c r="K10" i="9"/>
  <c r="L48" i="3" l="1"/>
  <c r="L28" i="9"/>
  <c r="L10" i="9"/>
</calcChain>
</file>

<file path=xl/sharedStrings.xml><?xml version="1.0" encoding="utf-8"?>
<sst xmlns="http://schemas.openxmlformats.org/spreadsheetml/2006/main" count="723" uniqueCount="504">
  <si>
    <t>Crocs, Inc.</t>
  </si>
  <si>
    <t>Company / Ticker:</t>
  </si>
  <si>
    <t>CROX – NASDAQ</t>
  </si>
  <si>
    <t>Analyst:</t>
  </si>
  <si>
    <t>Date:</t>
  </si>
  <si>
    <t>March 28, 2026</t>
  </si>
  <si>
    <t>Recommendation:</t>
  </si>
  <si>
    <t>BUY</t>
  </si>
  <si>
    <t>Target Price:</t>
  </si>
  <si>
    <t>$117.00</t>
  </si>
  <si>
    <t>Current Price:</t>
  </si>
  <si>
    <t>$79.54</t>
  </si>
  <si>
    <t>Implied Upside:</t>
  </si>
  <si>
    <t>+47.1%</t>
  </si>
  <si>
    <t>Crocs, Inc. (CROX)</t>
  </si>
  <si>
    <t>Income Statement  ($ in thousands, fiscal year ending December 31)</t>
  </si>
  <si>
    <t>Fiscal Year</t>
  </si>
  <si>
    <t>Historical Period</t>
  </si>
  <si>
    <t>Projection Period</t>
  </si>
  <si>
    <t>2020</t>
  </si>
  <si>
    <t>2021</t>
  </si>
  <si>
    <t>2022</t>
  </si>
  <si>
    <t>2023</t>
  </si>
  <si>
    <t>2024</t>
  </si>
  <si>
    <t>2026E</t>
  </si>
  <si>
    <t>2027E</t>
  </si>
  <si>
    <t>2028E</t>
  </si>
  <si>
    <t>2029E</t>
  </si>
  <si>
    <t>2030E</t>
  </si>
  <si>
    <t>Revenue</t>
  </si>
  <si>
    <t>Source: Crocs 10-K FY2025, p.53 | Crocs 8-K Feb 2026 (guidance) | Grand View Research (industry CAGR)</t>
  </si>
  <si>
    <t xml:space="preserve">  % Growth</t>
  </si>
  <si>
    <t>Cost of Goods Sold</t>
  </si>
  <si>
    <t>Source: Crocs 10-K FY2025, p.53 | PitchBook Income Statement</t>
  </si>
  <si>
    <t xml:space="preserve">  % of Revenue</t>
  </si>
  <si>
    <t>Gross Profit</t>
  </si>
  <si>
    <t xml:space="preserve">  Gross Margin %</t>
  </si>
  <si>
    <t>SG&amp;A Expense</t>
  </si>
  <si>
    <t>Source: Crocs 10-K FY2025, p.53 | PitchBook Income Statement. Conservative base: HEYDUDE restructuring costs persist</t>
  </si>
  <si>
    <t>Depreciation &amp; Amortization</t>
  </si>
  <si>
    <t>Source: Crocs 10-K FY2025 CFS p.55. IS D&amp;A = total D&amp;A (depreciation + amortization of HEYDUDE intangibles). Projected at 2.0% of revenue.</t>
  </si>
  <si>
    <t>EBIT (Operating Income)</t>
  </si>
  <si>
    <t xml:space="preserve">  EBIT Margin %</t>
  </si>
  <si>
    <t>Total Non Operating Income/expenses</t>
  </si>
  <si>
    <t>Projected: avg(beg+end debt) × pre-tax cost of debt (WACC!C9). Declining as debt repaid per schedule.</t>
  </si>
  <si>
    <t>Pre-Tax Income (EBT)</t>
  </si>
  <si>
    <t>Income Tax Expense</t>
  </si>
  <si>
    <t>Source: Crocs 8-K Feb 2026 guidance. Base: 21.5% effective rate (US statutory). Upside: 18%, Downside: 23%.</t>
  </si>
  <si>
    <t>Net Income</t>
  </si>
  <si>
    <t xml:space="preserve">  Net Margin %</t>
  </si>
  <si>
    <t>EBITDA</t>
  </si>
  <si>
    <t xml:space="preserve">  EBITDA Margin %</t>
  </si>
  <si>
    <t>Source: Crocs, Inc. Form 10-K FY2020–FY2025 (SEC EDGAR); PitchBook Financial Data (accessed Mar 26–27, 2026); Crocs 8-K Feb 2026 (Q4/FY2025 earnings release)</t>
  </si>
  <si>
    <t>Balance Sheet  ($ in thousands, as of December 31)</t>
  </si>
  <si>
    <t>ASSETS</t>
  </si>
  <si>
    <t>Current Assets</t>
  </si>
  <si>
    <t xml:space="preserve">  Cash &amp; Cash Equivalents</t>
  </si>
  <si>
    <t>Source: Crocs 10-K FY2025 BS. Projected: CFS ending cash (CFO+CFI+CFF roll-forward)</t>
  </si>
  <si>
    <t xml:space="preserve">  Accounts Receivable, net</t>
  </si>
  <si>
    <t>Source: Crocs 10-K FY2025. Projected: DSO=29 days × Revenue/365 (Assumptions BS sheet)</t>
  </si>
  <si>
    <t xml:space="preserve">  Inventories</t>
  </si>
  <si>
    <t>Source: Crocs 10-K FY2025. Projected: DIH=79 days × COGS/365</t>
  </si>
  <si>
    <t xml:space="preserve">  Prepaid Expenses &amp; Other</t>
  </si>
  <si>
    <t>Total Current Assets</t>
  </si>
  <si>
    <t>Non-Current Assets</t>
  </si>
  <si>
    <t xml:space="preserve">  Property, Plant &amp; Equipment, net</t>
  </si>
  <si>
    <t xml:space="preserve">  Intangible Assets, net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</si>
  <si>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</si>
  <si>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</si>
  <si>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</si>
  <si>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</si>
  <si>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</si>
  <si>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</si>
  <si>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>Source: Crocs 10-K FY2025. Projected: DPO=77 days × COGS/365</t>
  </si>
  <si>
    <t xml:space="preserve">  Accrued Liabilities</t>
  </si>
  <si>
    <t>Provisions, Current</t>
  </si>
  <si>
    <t xml:space="preserve">  Current Portion of LT Debt</t>
  </si>
  <si>
    <t>Source: Crocs 10-K FY2025 debt schedule. Projected: fixed at FY2025 level (current portion of LT debt)</t>
  </si>
  <si>
    <t xml:space="preserve">  Other Current Liabilities</t>
  </si>
  <si>
    <t>Total Current Liabilities</t>
  </si>
  <si>
    <t>Non-Current Liabilities</t>
  </si>
  <si>
    <t xml:space="preserve">  Long-Term Debt</t>
  </si>
  <si>
    <t>Assumption: $150,000/yr scheduled debt repayment per Crocs capital allocation guidance. Source: Crocs 10-K FY2025 debt schedule</t>
  </si>
  <si>
    <t>Source: Crocs 10-K FY2025. Assumption: $150,000/yr scheduled repayment per debt maturity schedule</t>
  </si>
  <si>
    <t xml:space="preserve">  Deferred Tax Liabilities</t>
  </si>
  <si>
    <t xml:space="preserve">  Other Long-Term Liabilities</t>
  </si>
  <si>
    <t>Total Non-Current Liabilities</t>
  </si>
  <si>
    <t>Total Liabilities</t>
  </si>
  <si>
    <t>Shareholders' Equity</t>
  </si>
  <si>
    <t xml:space="preserve">  Common Stock &amp; APIC</t>
  </si>
  <si>
    <t xml:space="preserve">  Retained Earnings</t>
  </si>
  <si>
    <t xml:space="preserve">  Treasury Stock</t>
  </si>
  <si>
    <t>Assumption: $550,000/yr share repurchases per historical 2% annual buyback program. Source: Crocs 10-K FY2025 capital returns policy</t>
  </si>
  <si>
    <t>Source: Crocs 10-K FY2025. Assumption: $550,000/yr buybacks = ~2% annual share count reduction</t>
  </si>
  <si>
    <t xml:space="preserve">  Other Comprehensive Income/(Loss)</t>
  </si>
  <si>
    <t>Total Shareholders' Equity</t>
  </si>
  <si>
    <t>TOTAL LIABILITIES &amp; EQUITY</t>
  </si>
  <si>
    <t>Balance Check (Assets – L&amp;E = 0)</t>
  </si>
  <si>
    <t>Note: Balance Check = 0 for all years. Cash (BS) is the balancing plug = Total L&amp;E − All Non-Cash Assets. CFS Ending Cash is linked to BS Cash. Source: Standard 3-statement model methodology.</t>
  </si>
  <si>
    <t>Source: Crocs, Inc. Form 10-K FY2020–FY2025 (SEC EDGAR); PitchBook Financial Data (accessed Mar 26–27, 2026)</t>
  </si>
  <si>
    <t>Cash Flow Statement  ($ in thousands, fiscal year ending December 31)</t>
  </si>
  <si>
    <t>OPERATING ACTIVITIES</t>
  </si>
  <si>
    <t xml:space="preserve">  Net Income</t>
  </si>
  <si>
    <t>Source: Links from Income Statement</t>
  </si>
  <si>
    <t xml:space="preserve">  Depreciation &amp; Amortization</t>
  </si>
  <si>
    <t>Source: CFS D&amp;A = 2.0% of revenue (depreciation + amortization). Crocs 10-K FY2025 p.55</t>
  </si>
  <si>
    <t xml:space="preserve">  Stock-Based Compensation</t>
  </si>
  <si>
    <t xml:space="preserve">  Deferred Income Taxes</t>
  </si>
  <si>
    <t>Changes in Working Capital</t>
  </si>
  <si>
    <t xml:space="preserve">    (Inc.)/Dec. in Accounts Receivable</t>
  </si>
  <si>
    <t xml:space="preserve">    (Inc.)/Dec. in Inventories</t>
  </si>
  <si>
    <t xml:space="preserve">    (Inc.)/Dec. in Prepaid &amp; Other</t>
  </si>
  <si>
    <t xml:space="preserve">    Inc./(Dec.) in Accounts Payable</t>
  </si>
  <si>
    <t xml:space="preserve">    Inc./(Dec.) in Accrued Liabilities</t>
  </si>
  <si>
    <t xml:space="preserve">    Inc./(Dec.) in Other Current Liabilities</t>
  </si>
  <si>
    <t xml:space="preserve">  Other Operating Activities</t>
  </si>
  <si>
    <t>Cash from Operating Activities (CFO)</t>
  </si>
  <si>
    <t>Source: Crocs 10-K FY2025 CFS. Projected: Net Income + non-cash items + WC changes</t>
  </si>
  <si>
    <t>INVESTING ACTIVITIES</t>
  </si>
  <si>
    <t xml:space="preserve">  Capital Expenditures</t>
  </si>
  <si>
    <t>Source: Crocs 10-K FY2025. Projected: 1.8% of revenue per capital allocation assumption</t>
  </si>
  <si>
    <t xml:space="preserve">  Acquisitions, net</t>
  </si>
  <si>
    <t xml:space="preserve">  Proceeds from Asset Sales</t>
  </si>
  <si>
    <t xml:space="preserve">  Other Investing</t>
  </si>
  <si>
    <t>Cash from Investing Activities (CFI)</t>
  </si>
  <si>
    <t>FINANCING ACTIVITIES</t>
  </si>
  <si>
    <t xml:space="preserve">  Total Issuance/(Repayments) for Debt, Net</t>
  </si>
  <si>
    <t>Assumption: $150,000/yr debt repayment. Source: Crocs 10-K FY2025 long-term debt schedule</t>
  </si>
  <si>
    <t xml:space="preserve">  Dividends Paid</t>
  </si>
  <si>
    <t xml:space="preserve">  Share Repurchases</t>
  </si>
  <si>
    <t>Assumption: $550,000/yr buybacks (2% annual share reduction). Source: Crocs 10-K FY2025 capital returns</t>
  </si>
  <si>
    <t xml:space="preserve">  Debt Issuance Costs</t>
  </si>
  <si>
    <t xml:space="preserve">  Other Financing</t>
  </si>
  <si>
    <t>Cash from Financing Activities (CFF)</t>
  </si>
  <si>
    <t>Net Change in Cash</t>
  </si>
  <si>
    <t>Beginning Cash Balance</t>
  </si>
  <si>
    <t xml:space="preserve">    Effect of Exchange Rate Changes</t>
  </si>
  <si>
    <t>Ending Cash Balance</t>
  </si>
  <si>
    <t>Note: Projected ending cash = Beginning cash + Net change (CFO+CFI+CFF) + FX. Balance Sheet cash linked to this figure. Source: Crocs 10-K FY2025; Model assumptions</t>
  </si>
  <si>
    <t>Discounted Cash Flow Analysis  ($ in thousands, fiscal year ending December 31)</t>
  </si>
  <si>
    <t>Operating Scenario</t>
  </si>
  <si>
    <t>1 = Base  |  2 = Upside  |  3 = Downside</t>
  </si>
  <si>
    <t>Mid-Year Convention</t>
  </si>
  <si>
    <t>SG&amp;A</t>
  </si>
  <si>
    <t>EBIT</t>
  </si>
  <si>
    <t>Taxes  (@ Effective Rate)</t>
  </si>
  <si>
    <t>EBIAT  (NOPAT)</t>
  </si>
  <si>
    <t>Plus: Depreciation &amp; Amortization</t>
  </si>
  <si>
    <t>Less: Capital Expenditures</t>
  </si>
  <si>
    <t>Less: Inc./(Dec.) in Net Working Capital</t>
  </si>
  <si>
    <t>Unlevered Free Cash Flow</t>
  </si>
  <si>
    <t>WACC</t>
  </si>
  <si>
    <t>Discount Period</t>
  </si>
  <si>
    <t>Discount Factor</t>
  </si>
  <si>
    <t>PV of Free Cash Flow</t>
  </si>
  <si>
    <t>Terminal Value &amp; Enterprise Value Bridge</t>
  </si>
  <si>
    <t>Sum of PV of FCFs</t>
  </si>
  <si>
    <t>Terminal Growth Rate</t>
  </si>
  <si>
    <t>Terminal Year FCF</t>
  </si>
  <si>
    <t>Terminal Value (Gordon Growth)</t>
  </si>
  <si>
    <t>PV of Terminal Value</t>
  </si>
  <si>
    <t>Enterprise Value (EV)</t>
  </si>
  <si>
    <t>(+) Cash &amp; Cash Equivalents</t>
  </si>
  <si>
    <t>(-) Total Debt</t>
  </si>
  <si>
    <t>(-) Minority Interest</t>
  </si>
  <si>
    <t>Equity Value</t>
  </si>
  <si>
    <t>Diluted Shares Outstanding (000s)</t>
  </si>
  <si>
    <t>Implied Share Price</t>
  </si>
  <si>
    <t>Current Share Price</t>
  </si>
  <si>
    <t>Implied Upside / (Downside)</t>
  </si>
  <si>
    <t>Sensitivity Analysis – Implied Share Price (WACC vs. Terminal Growth Rate)</t>
  </si>
  <si>
    <t xml:space="preserve">          TGR / WACC →</t>
  </si>
  <si>
    <t>10.5%</t>
  </si>
  <si>
    <t>Weighted Average Cost of Capital (WACC)  –  ($ in thousands)</t>
  </si>
  <si>
    <t>Capital Structure</t>
  </si>
  <si>
    <t xml:space="preserve">  Debt-to-Total Capitalization</t>
  </si>
  <si>
    <t xml:space="preserve">  Equity-to-Total Capitalization</t>
  </si>
  <si>
    <t>Cost of Debt</t>
  </si>
  <si>
    <t xml:space="preserve">  Pre-Tax Cost of Debt</t>
  </si>
  <si>
    <t xml:space="preserve">  Effective Tax Rate</t>
  </si>
  <si>
    <t xml:space="preserve">  After-Tax Cost of Debt</t>
  </si>
  <si>
    <t>Cost of Equity (CAPM)</t>
  </si>
  <si>
    <t xml:space="preserve">  Risk-Free Rate (10-yr Treasury)</t>
  </si>
  <si>
    <t xml:space="preserve">  Equity Risk Premium (ERP)</t>
  </si>
  <si>
    <t xml:space="preserve">  Unlevered Beta (from comps)</t>
  </si>
  <si>
    <t xml:space="preserve">  Relevered Beta</t>
  </si>
  <si>
    <t xml:space="preserve">  Size Premium</t>
  </si>
  <si>
    <t>Duff &amp; Phelps size premium for ~$4B market cap (8th-9th decile): 2.0-3.5% range. Using 2.80% reflecting CROX single-brand concentration risk, HEYDUDE turnaround uncertainty, and elevated execution risk vs. diversified footwear peers. Source: Duff &amp; Phelps 2024 SBBI.</t>
  </si>
  <si>
    <t xml:space="preserve">  Cost of Equity</t>
  </si>
  <si>
    <t>WACC Calculation</t>
  </si>
  <si>
    <t xml:space="preserve">  WACC</t>
  </si>
  <si>
    <t>Comparable Companies – Beta Unlevering</t>
  </si>
  <si>
    <t>Company</t>
  </si>
  <si>
    <t>Ticker</t>
  </si>
  <si>
    <t>Levered Beta</t>
  </si>
  <si>
    <t>Market Value Equity ($M)</t>
  </si>
  <si>
    <t>Total Debt ($M)</t>
  </si>
  <si>
    <t>D/E Ratio</t>
  </si>
  <si>
    <t>Tax Rate</t>
  </si>
  <si>
    <t>Unlevered Beta</t>
  </si>
  <si>
    <t>Steve Madden</t>
  </si>
  <si>
    <t>Wolverine World Wide</t>
  </si>
  <si>
    <t>Columbia Sportswear</t>
  </si>
  <si>
    <t>Deckers Outdoor</t>
  </si>
  <si>
    <t>On Holding</t>
  </si>
  <si>
    <t>Birkenstock</t>
  </si>
  <si>
    <t>Mean</t>
  </si>
  <si>
    <t>Median</t>
  </si>
  <si>
    <t>WACC Sensitivity  (Pre-Tax Cost of Debt vs. Debt/Total Cap.)</t>
  </si>
  <si>
    <t>D/TC \ CoD →</t>
  </si>
  <si>
    <t>Note: Yellow = base case approx. (D/TC≈30%, Pre-Tax CoD≈5%). Cost of Equity fixed at CAPM rate (C19). Source: WACC inputs; Damodaran ERP Jan 2026; US Treasury 10-yr Mar 27 2026; Hamada beta unlevering.</t>
  </si>
  <si>
    <t>Net Working Capital Projections  ($ in thousands)</t>
  </si>
  <si>
    <t>COGS</t>
  </si>
  <si>
    <t xml:space="preserve">  Accounts Receivable</t>
  </si>
  <si>
    <t>Net Working Capital (NWC)</t>
  </si>
  <si>
    <t xml:space="preserve">  NWC % of Revenue</t>
  </si>
  <si>
    <t>Change in NWC (Increase = Use of Cash)</t>
  </si>
  <si>
    <t>NWC Assumptions</t>
  </si>
  <si>
    <t xml:space="preserve">  Days Sales Outstanding (DSO)</t>
  </si>
  <si>
    <t xml:space="preserve">  Days Inventory Held (DIH)</t>
  </si>
  <si>
    <t xml:space="preserve">  Days Payable Outstanding (DPO)</t>
  </si>
  <si>
    <t xml:space="preserve">  Prepaid &amp; Other % of Revenue</t>
  </si>
  <si>
    <t xml:space="preserve">  Accrued Liabilities % of Revenue</t>
  </si>
  <si>
    <t xml:space="preserve">  Other CL % of Revenue</t>
  </si>
  <si>
    <t>Comparable Company Analysis (Comps)  –  Trading Multiples  ($ in millions unless noted)</t>
  </si>
  <si>
    <t>Mkt Cap
($M)</t>
  </si>
  <si>
    <t>Enterprise
Value ($M)</t>
  </si>
  <si>
    <t>Revenue
LTM ($M)</t>
  </si>
  <si>
    <t>EBITDA
LTM ($M)</t>
  </si>
  <si>
    <t>EV /
Revenue</t>
  </si>
  <si>
    <t>EV /
EBITDA</t>
  </si>
  <si>
    <t>P/E
LTM</t>
  </si>
  <si>
    <t>SHOO</t>
  </si>
  <si>
    <t>WWW</t>
  </si>
  <si>
    <t>COLM</t>
  </si>
  <si>
    <t>DECK</t>
  </si>
  <si>
    <t>ONON</t>
  </si>
  <si>
    <t>BIRK</t>
  </si>
  <si>
    <t>25th Percentile</t>
  </si>
  <si>
    <t>75th Percentile</t>
  </si>
  <si>
    <t>Crocs, Inc. (CROX) – Current Trading</t>
  </si>
  <si>
    <t>Implied Valuation from Trading Comps</t>
  </si>
  <si>
    <t>Metric</t>
  </si>
  <si>
    <t>Median
Multiple</t>
  </si>
  <si>
    <t>LTM Metric
($M)</t>
  </si>
  <si>
    <t>Implied EV
($M)</t>
  </si>
  <si>
    <t>Net Debt
($M)</t>
  </si>
  <si>
    <t>Implied Equity
($M)</t>
  </si>
  <si>
    <t>Imp. $/Share</t>
  </si>
  <si>
    <t>EV / Revenue</t>
  </si>
  <si>
    <t>EV / EBITDA</t>
  </si>
  <si>
    <t>P/E</t>
  </si>
  <si>
    <t>N/M</t>
  </si>
  <si>
    <t>Note: LTM = Last-twelve-months. Source: PitchBook / Yahoo Finance / SEC</t>
  </si>
  <si>
    <t>Financial Ratios Summary</t>
  </si>
  <si>
    <t>2025E</t>
  </si>
  <si>
    <t>PROFITABILITY</t>
  </si>
  <si>
    <t xml:space="preserve">  Gross Margin</t>
  </si>
  <si>
    <t>Source: Crocs 10-K FY2020-2025; Model IS projections</t>
  </si>
  <si>
    <t xml:space="preserve">  EBITDA Margin</t>
  </si>
  <si>
    <t xml:space="preserve">  EBIT Margin</t>
  </si>
  <si>
    <t xml:space="preserve">  Net Profit Margin</t>
  </si>
  <si>
    <t xml:space="preserve">  Return on Assets (ROA)</t>
  </si>
  <si>
    <t xml:space="preserve">  Return on Equity (ROE)</t>
  </si>
  <si>
    <t xml:space="preserve">  Return on Invested Capital (ROIC)</t>
  </si>
  <si>
    <t>LIQUIDITY</t>
  </si>
  <si>
    <t xml:space="preserve">  Current Ratio</t>
  </si>
  <si>
    <t>Source: Crocs 10-K FY2020-2025; Model BS/CFS projections</t>
  </si>
  <si>
    <t xml:space="preserve">  Quick Ratio</t>
  </si>
  <si>
    <t xml:space="preserve">  Cash Ratio</t>
  </si>
  <si>
    <t xml:space="preserve">  Operating Cash Flow Ratio</t>
  </si>
  <si>
    <t>LEVERAGE / SOLVENCY</t>
  </si>
  <si>
    <t xml:space="preserve">  Debt-to-Equity (D/E)</t>
  </si>
  <si>
    <t>Source: Crocs 10-K FY2020-2025; PitchBook interest expense data</t>
  </si>
  <si>
    <t xml:space="preserve">  Debt-to-Total Capital</t>
  </si>
  <si>
    <t xml:space="preserve">  Net Debt / EBITDA</t>
  </si>
  <si>
    <t xml:space="preserve">  Interest Coverage (EBIT / Int. Exp.)</t>
  </si>
  <si>
    <t xml:space="preserve">  Debt Service Coverage Ratio</t>
  </si>
  <si>
    <t>EFFICIENCY / ACTIVITY</t>
  </si>
  <si>
    <t xml:space="preserve">  Asset Turnover</t>
  </si>
  <si>
    <t>Source: Crocs 10-K FY2020-2025; Model BS/IS projections</t>
  </si>
  <si>
    <t xml:space="preserve">  Inventory Turnover</t>
  </si>
  <si>
    <t xml:space="preserve">  Cash Conversion Cycle (CCC)</t>
  </si>
  <si>
    <t xml:space="preserve">  Receivables Turnover</t>
  </si>
  <si>
    <t>VALUATION</t>
  </si>
  <si>
    <t xml:space="preserve">  Price / Earnings (P/E)</t>
  </si>
  <si>
    <t>Source: Yahoo Finance Mar 27 2026 price $79.54; PitchBook market data. Note: valuation multiples use current EV/price applied to each year IS for trend analysis.</t>
  </si>
  <si>
    <t xml:space="preserve">  Price / Book (P/B)</t>
  </si>
  <si>
    <t xml:space="preserve">  EV / Revenue</t>
  </si>
  <si>
    <t xml:space="preserve">  EV / EBITDA</t>
  </si>
  <si>
    <t xml:space="preserve">  EV / EBIT</t>
  </si>
  <si>
    <t xml:space="preserve">  EV / FCF</t>
  </si>
  <si>
    <t xml:space="preserve">  Dividend Yield</t>
  </si>
  <si>
    <t>N/A</t>
  </si>
  <si>
    <t>GROWTH</t>
  </si>
  <si>
    <t xml:space="preserve">  Revenue Growth YoY</t>
  </si>
  <si>
    <t>Source: Crocs 10-K FY2020-2025; Model projections</t>
  </si>
  <si>
    <t xml:space="preserve">  EBITDA Growth YoY</t>
  </si>
  <si>
    <t xml:space="preserve">  Net Income Growth YoY</t>
  </si>
  <si>
    <t xml:space="preserve">  EPS Growth YoY</t>
  </si>
  <si>
    <t xml:space="preserve">  FCF Growth YoY</t>
  </si>
  <si>
    <t>Derived from Financial Statements; Blue = historical; Gray = projected</t>
  </si>
  <si>
    <t>Crocs, Inc. (CROX)  –  Valuation Summary</t>
  </si>
  <si>
    <t>($ in thousands unless noted per share)</t>
  </si>
  <si>
    <t>DCF Valuation  –  Base Case</t>
  </si>
  <si>
    <t>Bear Case</t>
  </si>
  <si>
    <t>Base Case</t>
  </si>
  <si>
    <t>Bull Case</t>
  </si>
  <si>
    <t>PV of Free Cash Flows</t>
  </si>
  <si>
    <t>÷ Diluted Shares (000s)</t>
  </si>
  <si>
    <t>Upside / (Downside)</t>
  </si>
  <si>
    <t>Source: DCF model. Bear: WACC=14.0%, TGR=1.0%. Base: WACC=12.5%, TGR=2.0%. Bull: WACC=9.0%, TGR=3.5%.</t>
  </si>
  <si>
    <t>Comps Implied Share Price</t>
  </si>
  <si>
    <t>Comparable Company Analysis  –  Implied Share Price</t>
  </si>
  <si>
    <t>25th Pctile</t>
  </si>
  <si>
    <t>75th Pctile</t>
  </si>
  <si>
    <t>P/E (Normalized)</t>
  </si>
  <si>
    <t>Source: PitchBook market data; trading multiples as of March 27, 2026. Normalized P/E excludes FY2025 goodwill impairment.</t>
  </si>
  <si>
    <t>Football Field – Valuation Range ($ per Share)</t>
  </si>
  <si>
    <t>Football Field  –  Implied Share Price Range ($ per Share)</t>
  </si>
  <si>
    <t>Methodology</t>
  </si>
  <si>
    <t>Low</t>
  </si>
  <si>
    <t>High</t>
  </si>
  <si>
    <t>Source</t>
  </si>
  <si>
    <t>DCF (Bear / Bull)</t>
  </si>
  <si>
    <t>DCF model; WACC 9-14%, TGR 1-3.5%</t>
  </si>
  <si>
    <t>EV/EBITDA Comps</t>
  </si>
  <si>
    <t>PitchBook; 6 comps; 25th-75th pctile</t>
  </si>
  <si>
    <t>EV/Revenue Comps</t>
  </si>
  <si>
    <t>52-Week Range</t>
  </si>
  <si>
    <t>Yahoo Finance; 52-week range as of Mar 27 2026</t>
  </si>
  <si>
    <t>Analyst Price Targets</t>
  </si>
  <si>
    <t>Bloomberg consensus; 12 analysts</t>
  </si>
  <si>
    <t>Current Share Price (March 27, 2026)</t>
  </si>
  <si>
    <t xml:space="preserve"> INVESTMENT RECOMMENDATION</t>
  </si>
  <si>
    <t>BUY  |  Target Price: $117  |  Implied Upside: +47%  |  Current Price: $79.54</t>
  </si>
  <si>
    <t>Thesis: CROX is currently trading at a huge discount to its real value (5.5x EV/EBITDA vs. a 9.8x median for peers) mainly because of temporary HEYDUDE-related problems. The main Crocs brand is still growing internationally by 11% and generating strong FCF ($659M in FY2025). With debt reduction on the calendar and margin improvements, we firmly believe there is a route to $117 in 12 months.</t>
  </si>
  <si>
    <t>Crocs, Inc. (CROX)  –  Assumptions Page: Income Statement &amp; Cash Flow</t>
  </si>
  <si>
    <t>Yellow = input assumptions  |  Base = Scenario 1  |  Upside = Scenario 2  |  Downside = Scenario 3  |  Amounts in % unless stated</t>
  </si>
  <si>
    <t>Rationale</t>
  </si>
  <si>
    <t>Assumption</t>
  </si>
  <si>
    <t>Scenario</t>
  </si>
  <si>
    <t>#</t>
  </si>
  <si>
    <t>Year 1
2026</t>
  </si>
  <si>
    <t>Year 2
2027</t>
  </si>
  <si>
    <t>Year 3
2028</t>
  </si>
  <si>
    <t>Year 4
2029</t>
  </si>
  <si>
    <t>Year 5
2030</t>
  </si>
  <si>
    <t>Income Statement Assumptions</t>
  </si>
  <si>
    <t>Active</t>
  </si>
  <si>
    <t>Revenue Growth Rate
(% YoY)</t>
  </si>
  <si>
    <t>Base</t>
  </si>
  <si>
    <t>3yr CAGR FY2022-2025: 4.3%. Recent trend slowing — FY2025 actual (1.5%). Base: gradual recovery from management guided (1%) in FY2026 converging to industry CAGR 4.3% by 2030. Upside: HEYDUDE stabilization + international Crocs growth (11% in FY2025). Downside: prolonged HEYDUDE weakness + tariff headwinds + North America consumer pressure.</t>
  </si>
  <si>
    <t>Crocs 10-K FY2025 | Crocs 8-K Feb 2026 (FY2026 guidance) | Grand View Research (4.3% CAGR 2025-2030)</t>
  </si>
  <si>
    <t>Upside</t>
  </si>
  <si>
    <t>Downside</t>
  </si>
  <si>
    <t>Cost of Goods Sold
(% of Revenue)</t>
  </si>
  <si>
    <t>3yr avg FY2023-2025: 42.4%. Stabilizing at 41-42% after FY2022 spike. Base: gradual improvement as product mix shifts to higher-margin Crocs brand and franchise model expands. Upside: input cost deflation + pricing power. Downside: US tariff headwinds on manufacturing + raw material cost inflation.</t>
  </si>
  <si>
    <t>Crocs 10-K FY2024 p.53 | PitchBook Income Statement</t>
  </si>
  <si>
    <t>SG&amp;A Expense
(% of Revenue)</t>
  </si>
  <si>
    <t>Conservative base: FY2025 elevated at 35.5% due to HEYDUDE restructuring. Base case assumes only gradual improvement to 33% by 2030 given ongoing brand headwinds and tariff uncertainty.</t>
  </si>
  <si>
    <t>Crocs 10-K FY2025 p.53 | PitchBook Income Statement</t>
  </si>
  <si>
    <t>Depreciation &amp; Amortization
(% of Revenue, Total)</t>
  </si>
  <si>
    <t>IS D&amp;A reflects depreciation of PP&amp;E only (~0.9% revenue), consistent with Crocs 10-K where intangible amortization is captured within COGS/SG&amp;A. Full D&amp;A incl. amortization (~2.0% revenue) used in CFS and DCF addback.</t>
  </si>
  <si>
    <t>Crocs 10-K FY2025 p.55 | PitchBook Cash Flow Row 18</t>
  </si>
  <si>
    <t>Effective Tax Rate</t>
  </si>
  <si>
    <t>Base: US statutory rate 21.5% (GAAP guided rate). Upside: non-GAAP adjusted rate ~18% if international tax optimization. Downside: 23% if higher GAAP rate materializes per FY2026 guidance.</t>
  </si>
  <si>
    <t>Crocs 8-K FY2026 Guidance (Feb 2026): GAAP ~23%, Non-GAAP ~18% | US Tax Cuts &amp; Jobs Act</t>
  </si>
  <si>
    <t>Basic Shares Reduction</t>
  </si>
  <si>
    <t>Diluted Shares</t>
  </si>
  <si>
    <t>Cash Flow Statement Assumptions</t>
  </si>
  <si>
    <t>Capital Expenditures
(% of Revenue)</t>
  </si>
  <si>
    <t>FY2025 Capex dropped to 1.3% as company entered cost cutting mode. Management guided $70-80M for FY2026 vs ~$4B revenue = ~1.8%. Base: stable at guidance level. Upside: higher investment for expansion. Downside: further Capex cuts to preserve cash.</t>
  </si>
  <si>
    <t>Crocs 10-K FY2024 p.55 | Crocs 8-K Feb 2026 (Capex guidance $70-80M)</t>
  </si>
  <si>
    <t>Stock-Based Compensation
(% of Revenue)</t>
  </si>
  <si>
    <t>Historical avg FY2022-2024: ~0.8%. Non-cash add-back in CFO. Relatively stable % of revenue. Upside: scale benefits dilute SBC. Downside: higher executive compensation.</t>
  </si>
  <si>
    <t>PitchBook Cash Flow Statement Row 20 | Crocs 10-K FY2024</t>
  </si>
  <si>
    <t>Crocs, Inc. (CROX)  –  Assumptions Page 2: Balance Sheet / NWC</t>
  </si>
  <si>
    <t>Yellow = input  |  Base = Scenario 1  |  Upside = Scenario 2  |  Downside = Scenario 3  |  Days unless stated</t>
  </si>
  <si>
    <t>Projection Period (FY2026E – FY2030E)</t>
  </si>
  <si>
    <t>Year 1
2026E</t>
  </si>
  <si>
    <t>Year 2
2027E</t>
  </si>
  <si>
    <t>Year 3
2028E</t>
  </si>
  <si>
    <t>Year 4
2029E</t>
  </si>
  <si>
    <t>Year 5
2030E</t>
  </si>
  <si>
    <t>Balance Sheet / NWC Assumptions</t>
  </si>
  <si>
    <t>Days Sales Outstanding
(DSO)</t>
  </si>
  <si>
    <t>3yr avg FY2023-2025: 28.6 days. Fluctuating between 25-30 days. Base: stable at 3yr average. Upside: faster collections + growing DTC mix reduces receivables. Downside: slower collections under macro stress.</t>
  </si>
  <si>
    <t>Crocs 10-K FY2025 | PitchBook Balance Sheet (AR / Revenue × 365)</t>
  </si>
  <si>
    <t>26.0 days</t>
  </si>
  <si>
    <t>Days Inventory Held
(DIH)</t>
  </si>
  <si>
    <t>3yr avg FY2023-2025: 79.0 days. Relatively stable around 77-80 days. Base: stable at historical average. Upside: lean inventory management + strong demand reduces stock days. Downside: excess inventory buildup due to weak demand.</t>
  </si>
  <si>
    <t>Crocs 10-K FY2025 | PitchBook Balance Sheet (Inventory / COGS × 365)</t>
  </si>
  <si>
    <t>Days Payable Outstanding
(DPO)</t>
  </si>
  <si>
    <t>3yr avg FY2023-2025: 76.8 days. Fluctuating 73-84 days. Base: stable at 3yr average. Upside: stronger supplier relationships + extended payment terms. Downside: tighter supplier terms under financial stress.</t>
  </si>
  <si>
    <t>Crocs 10-K FY2025 | PitchBook Balance Sheet (AP / COGS × 365)</t>
  </si>
  <si>
    <t>Prepaid &amp; Other
(% of Revenue)</t>
  </si>
  <si>
    <t>3yr avg FY2023-2025 stable. Base: stable at historical average. Upside: better cost control + efficient working capital management. Downside: higher accruals and liabilities under stressed conditions.</t>
  </si>
  <si>
    <t>Crocs 10-K FY2024 | PitchBook Balance Sheet</t>
  </si>
  <si>
    <t>Accrued Liabilities
(% of Revenue)</t>
  </si>
  <si>
    <t>Other Current Liabilities
(% of Revenue)</t>
  </si>
  <si>
    <t>References &amp; Data Sources</t>
  </si>
  <si>
    <t>Reference / Source</t>
  </si>
  <si>
    <t>URL / Location</t>
  </si>
  <si>
    <t>Crocs, Inc. Form 10-K, FY2025</t>
  </si>
  <si>
    <t>https://pitchbook.com</t>
  </si>
  <si>
    <t>Crocs, Inc. Form 10-K, FY2024</t>
  </si>
  <si>
    <t>Crocs, Inc. Form 10-K, FY2023</t>
  </si>
  <si>
    <t>Crocs, Inc. Form 10-K, FY2022</t>
  </si>
  <si>
    <t>Crocs, Inc. Form 10-K, FY2021</t>
  </si>
  <si>
    <t>Crocs, Inc. Form 10-K, FY2020</t>
  </si>
  <si>
    <t>Crocs, Inc. 8-K (Q4 / FY2025 Earnings Release &amp; FY2026 Guidance)</t>
  </si>
  <si>
    <t>https://investors.crocs.com/news-releases</t>
  </si>
  <si>
    <t>PitchBook – Financial Data, Trading Multiples, Beta Data (CROX &amp; Comps)</t>
  </si>
  <si>
    <t>U.S. Treasury Daily Par Yield Curve Rates (10-yr: 4.44%)</t>
  </si>
  <si>
    <t>https://home.treasury.gov/resource-center/data-chart-center/interest-rates/</t>
  </si>
  <si>
    <t>Damodaran, Aswath – Implied Equity Risk Premium Update (4.46%)</t>
  </si>
  <si>
    <t>https://pages.stern.nyu.edu/~adamodar/</t>
  </si>
  <si>
    <t>Duff &amp; Phelps / Kroll – 2024 SBBI Yearbook, Size Premium by Decile</t>
  </si>
  <si>
    <t>https://www.kroll.com/en/insights/publications/cost-of-capital</t>
  </si>
  <si>
    <t>Grand View Research – Global Footwear Market Forecast 2025–2033</t>
  </si>
  <si>
    <t>https://www.grandviewresearch.com/industry-analysis/footwear-market</t>
  </si>
  <si>
    <t>Yahoo Finance – CROX Historical Prices &amp; 52-Week Range</t>
  </si>
  <si>
    <t>https://finance.yahoo.com/quote/CROX</t>
  </si>
  <si>
    <t>Bloomberg – Market Data &amp; Consensus Price Targets</t>
  </si>
  <si>
    <t>Bloomberg Terminal</t>
  </si>
  <si>
    <t>Hamada, R.S. (1972) – Portfolio Analysis, Market Equilibrium and Corp Finance</t>
  </si>
  <si>
    <t>Journal of Finance, Vol. 27, No. 1</t>
  </si>
  <si>
    <t>Crocs, Inc. Investor Relations – Press Releases &amp; Presentations</t>
  </si>
  <si>
    <t>https://investors.crocs.com</t>
  </si>
  <si>
    <t>Crocs, Inc. (CROX)  —  AS1 Assumption Documentation</t>
  </si>
  <si>
    <t>Income Statement &amp; Cash Flow Assumptions  |  Historical analysis (FY2022–FY2024)  |  $ in thousands</t>
  </si>
  <si>
    <t>① COGS % of Revenue</t>
  </si>
  <si>
    <t>② SG&amp;A % of Revenue</t>
  </si>
  <si>
    <t>Source: Income Statement → used to derive Gross Margin projection assumption</t>
  </si>
  <si>
    <t>Source: Income Statement → used to project operating expenses</t>
  </si>
  <si>
    <t>Year</t>
  </si>
  <si>
    <t>COGS ($K)</t>
  </si>
  <si>
    <t>Revenue ($K)</t>
  </si>
  <si>
    <t>COGS %</t>
  </si>
  <si>
    <t>SG&amp;A ($K)</t>
  </si>
  <si>
    <t>SG&amp;A %</t>
  </si>
  <si>
    <t>FY2022</t>
  </si>
  <si>
    <t>FY2023</t>
  </si>
  <si>
    <t>FY2024</t>
  </si>
  <si>
    <t>FY2025</t>
  </si>
  <si>
    <t>3-yr Avg (FY22–24)</t>
  </si>
  <si>
    <t>↓ Declining trend — COGS % improving as Crocs brand mix shifts to higher-margin products. Base case assumes continued gradual improvement to 40.5% by FY2030.</t>
  </si>
  <si>
    <t>↑ Increasing — driven by HEYDUDE restructuring costs &amp; elevated marketing. Base case: gradual normalization to 33% by FY2030 as restructuring charges fade.</t>
  </si>
  <si>
    <t>③ D&amp;A % of Revenue (Total, from CFS)</t>
  </si>
  <si>
    <t>④ Capital Expenditures % of Revenue</t>
  </si>
  <si>
    <t>Source: Cash Flow Statement → used for DCF addback &amp; IS D&amp;A projection</t>
  </si>
  <si>
    <t>Source: Cash Flow Statement → used to derive Unlevered FCF in DCF</t>
  </si>
  <si>
    <t>D&amp;A ($K)</t>
  </si>
  <si>
    <t>D&amp;A %</t>
  </si>
  <si>
    <t>Capex ($K)</t>
  </si>
  <si>
    <t>Capex %</t>
  </si>
  <si>
    <t>↑ Increasing — Capex investment driving higher depreciation. Note: IS D&amp;A (~0.9% rev) differs from CFS D&amp;A (~2.0%) as intangible amortization is captured in COGS/SG&amp;A. Full 2.0% used in DCF addback.</t>
  </si>
  <si>
    <t>FY2024 spike from HEYDUDE integration. FY2025 dropped sharply to 1.3% (cost-cutting mode). Mgmt guided $70–80M for FY2026 (~1.8%). Base case: 1.8% stable. Source: Crocs 8-K Feb 2026.</t>
  </si>
  <si>
    <t>⑤ Revenue Growth Rate — Historical Analysis &amp; Projection Rationale</t>
  </si>
  <si>
    <t>Source: Crocs 10-K FY2020–FY2025, Crocs 8-K Feb 2026, Grand View Research (4.3% CAGR 2025–2030)</t>
  </si>
  <si>
    <t>YoY Growth</t>
  </si>
  <si>
    <t>Notes</t>
  </si>
  <si>
    <t>FY2020</t>
  </si>
  <si>
    <t>—</t>
  </si>
  <si>
    <t>COVID baseline — foam comfort surge begins</t>
  </si>
  <si>
    <t>FY2021</t>
  </si>
  <si>
    <t>Post-COVID boom; DTC explosion</t>
  </si>
  <si>
    <t>HEYDUDE acquisition ($2.5B); blended boost</t>
  </si>
  <si>
    <t>Normalization; organic growth decelerating</t>
  </si>
  <si>
    <t>Slow growth; HEYDUDE headwinds emerging</t>
  </si>
  <si>
    <t>HEYDUDE down 14%; Crocs Brand +1.5%</t>
  </si>
  <si>
    <t>3-yr CAGR (FY22–25)</t>
  </si>
  <si>
    <t>Excludes COVID distortion; used as baseline reference</t>
  </si>
  <si>
    <t>2-yr CAGR (FY23–25)</t>
  </si>
  <si>
    <t>Most recent trend; reflects deceleration phase</t>
  </si>
  <si>
    <t>Industry CAGR 2025–30</t>
  </si>
  <si>
    <t>Grand View Research global footwear market forecast</t>
  </si>
  <si>
    <t>Mgmt FY2026 Guidance</t>
  </si>
  <si>
    <t>0% to (1%)</t>
  </si>
  <si>
    <t>Crocs 8-K Feb 2026 — conservative flat/decline</t>
  </si>
  <si>
    <t>Base Case Projection Rationale</t>
  </si>
  <si>
    <t>FY2026E</t>
  </si>
  <si>
    <t>Per management guidance (flat to -1%). HEYDUDE trough year.</t>
  </si>
  <si>
    <t>FY2027E</t>
  </si>
  <si>
    <t>Gradual recovery; HEYDUDE stabilizing; Crocs international +8%.</t>
  </si>
  <si>
    <t>FY2028E</t>
  </si>
  <si>
    <t>Approaching industry CAGR; DTC channel gains momentum.</t>
  </si>
  <si>
    <t>FY2029E</t>
  </si>
  <si>
    <t>Near industry CAGR; HEYDUDE contributing positively.</t>
  </si>
  <si>
    <t>FY2030E</t>
  </si>
  <si>
    <t>Fully converged to Grand View Research industry CAGR of 4.3%.</t>
  </si>
  <si>
    <t>• HEYDUDE bottoming out — strategic actions underway (SKU rationalisation, new brand president)</t>
  </si>
  <si>
    <t>• HEYDUDE turnaround uncertain — past guidance missed significantly</t>
  </si>
  <si>
    <t>• Crocs international +11% in FY2025 — Asia Pacific &amp; EMEA expanding</t>
  </si>
  <si>
    <t>• US tariff headwinds on Vietnam/China manufacturing costs</t>
  </si>
  <si>
    <t>• DTC channel growing faster than wholesale, higher margins</t>
  </si>
  <si>
    <t>• North America consumer spending under pressure (rates, credit)</t>
  </si>
  <si>
    <t>• New product innovation — collab drops driving earned media</t>
  </si>
  <si>
    <t>• Strong USD hurting international revenues when converted back</t>
  </si>
  <si>
    <t>Sources: Crocs 10-K FY2020–FY2025 (SEC EDGAR)  |  Crocs 8-K Feb 2026  |  Grand View Research Global Footwear Market 2025–2033  |  PitchBook Financial Data</t>
  </si>
  <si>
    <t xml:space="preserve"> Why recovery is conservative (Base case)</t>
  </si>
  <si>
    <t>Why revenue recovers from FY2027+</t>
  </si>
  <si>
    <t>Soumya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</si>
</sst>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;[Red]\(#,##0\)"/>
    <numFmt numFmtId="165" formatCode="#,##0;\(#,##0\);\-"/>
    <numFmt numFmtId="166" formatCode="0.0%;\(0.0%\);\-"/>
    <numFmt numFmtId="167" formatCode="#,##0.00;\(#,##0.00\);\-"/>
    <numFmt numFmtId="168" formatCode="0.0%"/>
    <numFmt numFmtId="169" formatCode="#,##0.00;[Red]\(#,##0.00\)"/>
    <numFmt numFmtId="170" formatCode="0.0"/>
    <numFmt numFmtId="171" formatCode="0.0000"/>
    <numFmt numFmtId="172" formatCode="\$#,##0.00"/>
    <numFmt numFmtId="173" formatCode="0.0\x"/>
    <numFmt numFmtId="174" formatCode="0.000000000000000%"/>
    <numFmt numFmtId="175" formatCode="0.00\x"/>
    <numFmt numFmtId="176" formatCode="0.0&quot; days&quot;"/>
    <numFmt numFmtId="177" formatCode="\$#,##0"/>
  </numFmts>
  <fonts count="73" x14ac:knownFonts="1">
    <font>
      <sz val="11"/>
      <color theme="1"/>
      <name val="Calibri"/>
      <family val="2"/>
      <charset val="1"/>
    </font>
    <font>
      <sz val="10"/>
      <color rgb="FF000000"/>
      <name val="Open Sans"/>
      <family val="2"/>
      <charset val="1"/>
    </font>
    <font>
      <b/>
      <sz val="10"/>
      <color rgb="FF000000"/>
      <name val="Open Sans"/>
      <family val="2"/>
      <charset val="1"/>
    </font>
    <font>
      <b/>
      <sz val="28"/>
      <color rgb="FFFFFFFF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i/>
      <sz val="8"/>
      <color rgb="FF595959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8"/>
      <color rgb="FF888888"/>
      <name val="Arial"/>
      <family val="2"/>
      <charset val="1"/>
    </font>
    <font>
      <sz val="10"/>
      <color rgb="FF000000"/>
      <name val="Open Sans"/>
      <charset val="1"/>
    </font>
    <font>
      <b/>
      <sz val="11"/>
      <color theme="1"/>
      <name val="Calibri"/>
      <family val="2"/>
      <charset val="1"/>
    </font>
    <font>
      <sz val="10"/>
      <color rgb="FF00640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9"/>
      <color rgb="FF595959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1F5C1F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3"/>
      <color rgb="FFFFFFFF"/>
      <name val="Arial"/>
      <family val="2"/>
      <charset val="1"/>
    </font>
    <font>
      <i/>
      <sz val="8"/>
      <color rgb="FF555555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theme="1"/>
      <name val="Arial"/>
      <family val="2"/>
      <charset val="1"/>
    </font>
    <font>
      <sz val="9"/>
      <color rgb="FF000000"/>
      <name val="Arial"/>
      <family val="2"/>
    </font>
    <font>
      <sz val="11"/>
      <color theme="0"/>
      <name val="Calibri"/>
      <family val="2"/>
      <charset val="1"/>
    </font>
    <font>
      <b/>
      <sz val="9"/>
      <color rgb="FF0061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color rgb="FF333333"/>
      <name val="Arial"/>
      <family val="2"/>
      <charset val="1"/>
    </font>
    <font>
      <sz val="8"/>
      <color rgb="FF0563C1"/>
      <name val="Arial"/>
      <family val="2"/>
      <charset val="1"/>
    </font>
    <font>
      <b/>
      <sz val="9"/>
      <color rgb="FF00008B"/>
      <name val="Arial"/>
      <family val="2"/>
      <charset val="1"/>
    </font>
    <font>
      <b/>
      <sz val="9"/>
      <color rgb="FF833C00"/>
      <name val="Arial"/>
      <family val="2"/>
      <charset val="1"/>
    </font>
    <font>
      <b/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6"/>
      <color rgb="FFFFFFFF"/>
      <name val="Calibri"/>
      <family val="2"/>
    </font>
    <font>
      <i/>
      <sz val="10"/>
      <color rgb="FFAAAAAA"/>
      <name val="Calibri"/>
      <family val="2"/>
    </font>
    <font>
      <b/>
      <sz val="12"/>
      <color rgb="FFFFFFFF"/>
      <name val="Calibri"/>
      <family val="2"/>
    </font>
    <font>
      <i/>
      <sz val="9"/>
      <color rgb="FFCCCCCC"/>
      <name val="Calibri"/>
      <family val="2"/>
    </font>
    <font>
      <b/>
      <sz val="10"/>
      <color rgb="FFFFFFFF"/>
      <name val="Calibri"/>
      <family val="2"/>
    </font>
    <font>
      <b/>
      <sz val="10"/>
      <color rgb="FF1B3A5C"/>
      <name val="Calibri"/>
      <family val="2"/>
    </font>
    <font>
      <sz val="10"/>
      <color rgb="FF333333"/>
      <name val="Calibri"/>
      <family val="2"/>
    </font>
    <font>
      <sz val="10"/>
      <color rgb="FF000000"/>
      <name val="Calibri"/>
      <family val="2"/>
    </font>
    <font>
      <b/>
      <sz val="10"/>
      <color rgb="FF0D1B2A"/>
      <name val="Calibri"/>
      <family val="2"/>
    </font>
    <font>
      <sz val="10"/>
      <color rgb="FF666666"/>
      <name val="Calibri"/>
      <family val="2"/>
    </font>
    <font>
      <i/>
      <sz val="9"/>
      <color rgb="FF1A5C1A"/>
      <name val="Calibri"/>
      <family val="2"/>
    </font>
    <font>
      <i/>
      <sz val="9"/>
      <color rgb="FF8B1A1A"/>
      <name val="Calibri"/>
      <family val="2"/>
    </font>
    <font>
      <i/>
      <sz val="9"/>
      <color rgb="FFAAAAAA"/>
      <name val="Calibri"/>
      <family val="2"/>
    </font>
    <font>
      <i/>
      <sz val="9"/>
      <color rgb="FF444444"/>
      <name val="Calibri"/>
      <family val="2"/>
    </font>
    <font>
      <sz val="10"/>
      <color rgb="FF1A5C1A"/>
      <name val="Calibri"/>
      <family val="2"/>
    </font>
    <font>
      <sz val="10"/>
      <color rgb="FFC0392B"/>
      <name val="Calibri"/>
      <family val="2"/>
    </font>
    <font>
      <b/>
      <sz val="10"/>
      <color rgb="FF000000"/>
      <name val="Calibri"/>
      <family val="2"/>
    </font>
    <font>
      <i/>
      <sz val="9"/>
      <color rgb="FF555555"/>
      <name val="Calibri"/>
      <family val="2"/>
    </font>
    <font>
      <b/>
      <sz val="11"/>
      <color rgb="FFFFFFFF"/>
      <name val="Calibri"/>
      <family val="2"/>
    </font>
    <font>
      <b/>
      <sz val="10"/>
      <color rgb="FFC0392B"/>
      <name val="Calibri"/>
      <family val="2"/>
    </font>
    <font>
      <i/>
      <sz val="9"/>
      <color rgb="FF333333"/>
      <name val="Calibri"/>
      <family val="2"/>
    </font>
    <font>
      <b/>
      <sz val="10"/>
      <color rgb="FF1A5C1A"/>
      <name val="Calibri"/>
      <family val="2"/>
    </font>
    <font>
      <b/>
      <sz val="10"/>
      <color rgb="FF8B1A1A"/>
      <name val="Calibri"/>
      <family val="2"/>
    </font>
    <font>
      <sz val="9"/>
      <color rgb="FF1A5C1A"/>
      <name val="Calibri"/>
      <family val="2"/>
    </font>
    <font>
      <sz val="9"/>
      <color rgb="FF8B1A1A"/>
      <name val="Calibri"/>
      <family val="2"/>
    </font>
    <font>
      <i/>
      <sz val="8"/>
      <color rgb="FF88888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1B3A5C"/>
      </patternFill>
    </fill>
    <fill>
      <patternFill patternType="solid">
        <fgColor rgb="FF2E75B6"/>
        <bgColor rgb="FF1B6CA8"/>
      </patternFill>
    </fill>
    <fill>
      <patternFill patternType="solid">
        <fgColor rgb="FFF2F2F2"/>
        <bgColor rgb="FFF5F5F5"/>
      </patternFill>
    </fill>
    <fill>
      <patternFill patternType="solid">
        <fgColor rgb="FFDEEAF1"/>
        <bgColor rgb="FFD6E4F0"/>
      </patternFill>
    </fill>
    <fill>
      <patternFill patternType="solid">
        <fgColor rgb="FFF8F5EF"/>
        <bgColor rgb="FFF5F5F5"/>
      </patternFill>
    </fill>
    <fill>
      <patternFill patternType="solid">
        <fgColor rgb="FFBDD7EE"/>
        <bgColor rgb="FFD0D0D0"/>
      </patternFill>
    </fill>
    <fill>
      <patternFill patternType="solid">
        <fgColor rgb="FFFFC7CE"/>
        <bgColor rgb="FFFCE4D6"/>
      </patternFill>
    </fill>
    <fill>
      <patternFill patternType="solid">
        <fgColor rgb="FFFFFF00"/>
        <bgColor rgb="FFFFD700"/>
      </patternFill>
    </fill>
    <fill>
      <patternFill patternType="solid">
        <fgColor rgb="FFFFD700"/>
        <bgColor rgb="FFFFFF00"/>
      </patternFill>
    </fill>
    <fill>
      <patternFill patternType="solid">
        <fgColor rgb="FFFFFFFF"/>
        <bgColor rgb="FFF8F8F8"/>
      </patternFill>
    </fill>
    <fill>
      <patternFill patternType="solid">
        <fgColor rgb="FF1F5C1F"/>
        <bgColor rgb="FF1A5C1A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DECEA"/>
      </patternFill>
    </fill>
    <fill>
      <patternFill patternType="solid">
        <fgColor rgb="FF0D1B2A"/>
        <bgColor rgb="FF000000"/>
      </patternFill>
    </fill>
    <fill>
      <patternFill patternType="solid">
        <fgColor rgb="FF1B3A5C"/>
        <bgColor rgb="FF1F3864"/>
      </patternFill>
    </fill>
    <fill>
      <patternFill patternType="solid">
        <fgColor rgb="FF1B6CA8"/>
        <bgColor rgb="FF2E75B6"/>
      </patternFill>
    </fill>
    <fill>
      <patternFill patternType="solid">
        <fgColor rgb="FFD6E4F0"/>
        <bgColor rgb="FFDEEAF1"/>
      </patternFill>
    </fill>
    <fill>
      <patternFill patternType="solid">
        <fgColor rgb="FFEBF4FA"/>
        <bgColor rgb="FFF2F2F2"/>
      </patternFill>
    </fill>
    <fill>
      <patternFill patternType="solid">
        <fgColor rgb="FFF5F5F5"/>
        <bgColor rgb="FFF8F5EF"/>
      </patternFill>
    </fill>
    <fill>
      <patternFill patternType="solid">
        <fgColor rgb="FFE8F5E9"/>
        <bgColor rgb="FFEBF4FA"/>
      </patternFill>
    </fill>
    <fill>
      <patternFill patternType="solid">
        <fgColor rgb="FFFDECEA"/>
        <bgColor rgb="FFFDF4F4"/>
      </patternFill>
    </fill>
    <fill>
      <patternFill patternType="solid">
        <fgColor rgb="FFF1FAF1"/>
        <bgColor rgb="FFF5F5F5"/>
      </patternFill>
    </fill>
    <fill>
      <patternFill patternType="solid">
        <fgColor rgb="FFFDF4F4"/>
        <bgColor rgb="FFF8F5EF"/>
      </patternFill>
    </fill>
    <fill>
      <patternFill patternType="solid">
        <fgColor rgb="FFF8F8F8"/>
        <bgColor rgb="FFF5F5F5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medium">
        <color rgb="FF0D1B2A"/>
      </left>
      <right/>
      <top style="medium">
        <color rgb="FF0D1B2A"/>
      </top>
      <bottom style="medium">
        <color rgb="FF0D1B2A"/>
      </bottom>
      <diagonal/>
    </border>
    <border>
      <left style="thin">
        <color rgb="FF4A90D9"/>
      </left>
      <right style="thin">
        <color rgb="FF4A90D9"/>
      </right>
      <top style="thin">
        <color rgb="FF4A90D9"/>
      </top>
      <bottom style="thin">
        <color rgb="FF4A90D9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AAAAAA"/>
      </bottom>
      <diagonal/>
    </border>
  </borders>
  <cellStyleXfs count="3">
    <xf numFmtId="0" fontId="0" fillId="0" borderId="0"/>
    <xf numFmtId="0" fontId="1" fillId="0" borderId="0">
      <alignment horizontal="right" vertical="center"/>
    </xf>
    <xf numFmtId="0" fontId="2" fillId="0" borderId="0">
      <alignment horizontal="right" vertical="center"/>
    </xf>
  </cellStyleXfs>
  <cellXfs count="240">
    <xf numFmtId="0" fontId="0" fillId="0" borderId="0" xfId="0"/>
    <xf numFmtId="0" fontId="27" fillId="1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24" fillId="0" borderId="0" xfId="0" applyFont="1"/>
    <xf numFmtId="0" fontId="20" fillId="7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9" fillId="3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indent="1"/>
    </xf>
    <xf numFmtId="164" fontId="2" fillId="0" borderId="1" xfId="0" applyNumberFormat="1" applyFont="1" applyBorder="1" applyAlignment="1">
      <alignment horizontal="right" vertical="center"/>
    </xf>
    <xf numFmtId="165" fontId="10" fillId="4" borderId="2" xfId="0" applyNumberFormat="1" applyFont="1" applyFill="1" applyBorder="1" applyAlignment="1">
      <alignment horizontal="right" vertical="center"/>
    </xf>
    <xf numFmtId="0" fontId="11" fillId="0" borderId="0" xfId="0" applyFont="1"/>
    <xf numFmtId="166" fontId="12" fillId="0" borderId="2" xfId="0" applyNumberFormat="1" applyFont="1" applyBorder="1" applyAlignment="1">
      <alignment horizontal="right" vertical="center"/>
    </xf>
    <xf numFmtId="166" fontId="13" fillId="0" borderId="2" xfId="0" applyNumberFormat="1" applyFont="1" applyBorder="1" applyAlignment="1">
      <alignment horizontal="right" vertical="center"/>
    </xf>
    <xf numFmtId="0" fontId="8" fillId="5" borderId="0" xfId="0" applyFont="1" applyFill="1" applyAlignment="1">
      <alignment horizontal="left" vertical="center" indent="1"/>
    </xf>
    <xf numFmtId="165" fontId="14" fillId="5" borderId="2" xfId="0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3" fontId="0" fillId="0" borderId="0" xfId="0" applyNumberFormat="1"/>
    <xf numFmtId="165" fontId="8" fillId="5" borderId="2" xfId="0" applyNumberFormat="1" applyFont="1" applyFill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167" fontId="12" fillId="0" borderId="2" xfId="0" applyNumberFormat="1" applyFont="1" applyBorder="1" applyAlignment="1">
      <alignment horizontal="right" vertical="center"/>
    </xf>
    <xf numFmtId="164" fontId="2" fillId="6" borderId="0" xfId="0" applyNumberFormat="1" applyFont="1" applyFill="1" applyAlignment="1">
      <alignment horizontal="right" vertical="center"/>
    </xf>
    <xf numFmtId="166" fontId="13" fillId="0" borderId="3" xfId="0" applyNumberFormat="1" applyFont="1" applyBorder="1" applyAlignment="1">
      <alignment horizontal="right" vertical="center"/>
    </xf>
    <xf numFmtId="168" fontId="10" fillId="4" borderId="3" xfId="0" applyNumberFormat="1" applyFont="1" applyFill="1" applyBorder="1" applyAlignment="1">
      <alignment horizontal="right" vertical="center"/>
    </xf>
    <xf numFmtId="0" fontId="15" fillId="0" borderId="0" xfId="0" applyFont="1"/>
    <xf numFmtId="164" fontId="2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3" fontId="17" fillId="0" borderId="0" xfId="0" applyNumberFormat="1" applyFont="1"/>
    <xf numFmtId="169" fontId="2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0" fontId="8" fillId="7" borderId="0" xfId="0" applyFont="1" applyFill="1" applyAlignment="1">
      <alignment horizontal="left" vertical="center" indent="1"/>
    </xf>
    <xf numFmtId="164" fontId="16" fillId="0" borderId="1" xfId="0" applyNumberFormat="1" applyFont="1" applyBorder="1" applyAlignment="1">
      <alignment horizontal="right" vertical="center"/>
    </xf>
    <xf numFmtId="165" fontId="10" fillId="5" borderId="2" xfId="0" applyNumberFormat="1" applyFont="1" applyFill="1" applyBorder="1" applyAlignment="1">
      <alignment horizontal="right" vertical="center"/>
    </xf>
    <xf numFmtId="3" fontId="10" fillId="0" borderId="0" xfId="0" applyNumberFormat="1" applyFont="1"/>
    <xf numFmtId="0" fontId="8" fillId="8" borderId="0" xfId="0" applyFont="1" applyFill="1" applyAlignment="1">
      <alignment horizontal="left" vertical="center" indent="1"/>
    </xf>
    <xf numFmtId="165" fontId="14" fillId="8" borderId="2" xfId="0" applyNumberFormat="1" applyFont="1" applyFill="1" applyBorder="1" applyAlignment="1">
      <alignment horizontal="right" vertical="center"/>
    </xf>
    <xf numFmtId="165" fontId="10" fillId="8" borderId="2" xfId="0" applyNumberFormat="1" applyFont="1" applyFill="1" applyBorder="1" applyAlignment="1">
      <alignment horizontal="right" vertical="center"/>
    </xf>
    <xf numFmtId="165" fontId="13" fillId="0" borderId="2" xfId="0" applyNumberFormat="1" applyFont="1" applyBorder="1" applyAlignment="1">
      <alignment horizontal="right" vertical="center"/>
    </xf>
    <xf numFmtId="165" fontId="18" fillId="4" borderId="2" xfId="0" applyNumberFormat="1" applyFont="1" applyFill="1" applyBorder="1" applyAlignment="1">
      <alignment horizontal="right" vertical="center"/>
    </xf>
    <xf numFmtId="165" fontId="12" fillId="4" borderId="2" xfId="0" applyNumberFormat="1" applyFont="1" applyFill="1" applyBorder="1" applyAlignment="1">
      <alignment horizontal="right" vertical="center"/>
    </xf>
    <xf numFmtId="165" fontId="18" fillId="5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8" fillId="0" borderId="0" xfId="0" applyFont="1"/>
    <xf numFmtId="0" fontId="7" fillId="0" borderId="0" xfId="0" applyFont="1"/>
    <xf numFmtId="170" fontId="19" fillId="9" borderId="0" xfId="0" applyNumberFormat="1" applyFont="1" applyFill="1"/>
    <xf numFmtId="10" fontId="13" fillId="0" borderId="2" xfId="0" applyNumberFormat="1" applyFont="1" applyBorder="1" applyAlignment="1">
      <alignment horizontal="right" vertical="center"/>
    </xf>
    <xf numFmtId="166" fontId="10" fillId="4" borderId="2" xfId="0" applyNumberFormat="1" applyFont="1" applyFill="1" applyBorder="1" applyAlignment="1">
      <alignment horizontal="right" vertical="center"/>
    </xf>
    <xf numFmtId="167" fontId="10" fillId="4" borderId="2" xfId="0" applyNumberFormat="1" applyFont="1" applyFill="1" applyBorder="1" applyAlignment="1">
      <alignment horizontal="right" vertical="center"/>
    </xf>
    <xf numFmtId="171" fontId="0" fillId="0" borderId="0" xfId="0" applyNumberFormat="1"/>
    <xf numFmtId="165" fontId="19" fillId="5" borderId="2" xfId="0" applyNumberFormat="1" applyFont="1" applyFill="1" applyBorder="1" applyAlignment="1">
      <alignment horizontal="right" vertical="center"/>
    </xf>
    <xf numFmtId="165" fontId="13" fillId="9" borderId="2" xfId="0" applyNumberFormat="1" applyFont="1" applyFill="1" applyBorder="1" applyAlignment="1">
      <alignment horizontal="right" vertical="center"/>
    </xf>
    <xf numFmtId="2" fontId="12" fillId="9" borderId="2" xfId="0" applyNumberFormat="1" applyFont="1" applyFill="1" applyBorder="1" applyAlignment="1">
      <alignment horizontal="right" vertical="center"/>
    </xf>
    <xf numFmtId="165" fontId="12" fillId="9" borderId="2" xfId="0" applyNumberFormat="1" applyFont="1" applyFill="1" applyBorder="1" applyAlignment="1">
      <alignment horizontal="right" vertical="center"/>
    </xf>
    <xf numFmtId="167" fontId="14" fillId="5" borderId="2" xfId="0" applyNumberFormat="1" applyFont="1" applyFill="1" applyBorder="1" applyAlignment="1">
      <alignment horizontal="right" vertical="center"/>
    </xf>
    <xf numFmtId="167" fontId="12" fillId="9" borderId="2" xfId="0" applyNumberFormat="1" applyFont="1" applyFill="1" applyBorder="1" applyAlignment="1">
      <alignment horizontal="right" vertical="center"/>
    </xf>
    <xf numFmtId="166" fontId="14" fillId="5" borderId="2" xfId="0" applyNumberFormat="1" applyFont="1" applyFill="1" applyBorder="1" applyAlignment="1">
      <alignment horizontal="right" vertical="center"/>
    </xf>
    <xf numFmtId="168" fontId="9" fillId="3" borderId="0" xfId="0" applyNumberFormat="1" applyFont="1" applyFill="1" applyAlignment="1">
      <alignment horizontal="center" vertical="center" wrapText="1"/>
    </xf>
    <xf numFmtId="172" fontId="13" fillId="9" borderId="2" xfId="0" applyNumberFormat="1" applyFont="1" applyFill="1" applyBorder="1" applyAlignment="1">
      <alignment horizontal="center" vertical="center" wrapText="1"/>
    </xf>
    <xf numFmtId="167" fontId="12" fillId="9" borderId="2" xfId="0" applyNumberFormat="1" applyFont="1" applyFill="1" applyBorder="1" applyAlignment="1">
      <alignment horizontal="center" vertical="center" wrapText="1"/>
    </xf>
    <xf numFmtId="172" fontId="20" fillId="10" borderId="2" xfId="0" applyNumberFormat="1" applyFont="1" applyFill="1" applyBorder="1" applyAlignment="1">
      <alignment horizontal="center" vertical="center" wrapText="1"/>
    </xf>
    <xf numFmtId="10" fontId="21" fillId="9" borderId="2" xfId="0" applyNumberFormat="1" applyFont="1" applyFill="1" applyBorder="1" applyAlignment="1">
      <alignment horizontal="right" vertical="center"/>
    </xf>
    <xf numFmtId="168" fontId="21" fillId="9" borderId="2" xfId="0" applyNumberFormat="1" applyFont="1" applyFill="1" applyBorder="1" applyAlignment="1">
      <alignment horizontal="right" vertical="center"/>
    </xf>
    <xf numFmtId="166" fontId="12" fillId="9" borderId="2" xfId="0" applyNumberFormat="1" applyFont="1" applyFill="1" applyBorder="1" applyAlignment="1">
      <alignment horizontal="right" vertical="center"/>
    </xf>
    <xf numFmtId="9" fontId="21" fillId="0" borderId="0" xfId="0" applyNumberFormat="1" applyFont="1"/>
    <xf numFmtId="173" fontId="13" fillId="9" borderId="2" xfId="0" applyNumberFormat="1" applyFont="1" applyFill="1" applyBorder="1" applyAlignment="1">
      <alignment horizontal="right" vertical="center"/>
    </xf>
    <xf numFmtId="174" fontId="0" fillId="0" borderId="0" xfId="0" applyNumberFormat="1"/>
    <xf numFmtId="0" fontId="12" fillId="9" borderId="2" xfId="0" applyFont="1" applyFill="1" applyBorder="1" applyAlignment="1">
      <alignment horizontal="right" vertical="center"/>
    </xf>
    <xf numFmtId="10" fontId="21" fillId="9" borderId="0" xfId="0" applyNumberFormat="1" applyFont="1" applyFill="1"/>
    <xf numFmtId="0" fontId="9" fillId="3" borderId="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175" fontId="12" fillId="9" borderId="2" xfId="0" applyNumberFormat="1" applyFont="1" applyFill="1" applyBorder="1" applyAlignment="1">
      <alignment horizontal="right" vertical="center"/>
    </xf>
    <xf numFmtId="171" fontId="13" fillId="9" borderId="2" xfId="0" applyNumberFormat="1" applyFont="1" applyFill="1" applyBorder="1" applyAlignment="1">
      <alignment horizontal="right" vertical="center"/>
    </xf>
    <xf numFmtId="10" fontId="12" fillId="9" borderId="2" xfId="0" applyNumberFormat="1" applyFont="1" applyFill="1" applyBorder="1" applyAlignment="1">
      <alignment horizontal="right" vertical="center"/>
    </xf>
    <xf numFmtId="165" fontId="8" fillId="7" borderId="2" xfId="0" applyNumberFormat="1" applyFont="1" applyFill="1" applyBorder="1" applyAlignment="1">
      <alignment horizontal="right" vertical="center"/>
    </xf>
    <xf numFmtId="173" fontId="8" fillId="7" borderId="2" xfId="0" applyNumberFormat="1" applyFont="1" applyFill="1" applyBorder="1" applyAlignment="1">
      <alignment horizontal="right" vertical="center"/>
    </xf>
    <xf numFmtId="9" fontId="23" fillId="3" borderId="0" xfId="0" applyNumberFormat="1" applyFont="1" applyFill="1" applyAlignment="1">
      <alignment horizontal="center"/>
    </xf>
    <xf numFmtId="10" fontId="13" fillId="9" borderId="2" xfId="0" applyNumberFormat="1" applyFont="1" applyFill="1" applyBorder="1" applyAlignment="1">
      <alignment horizontal="center"/>
    </xf>
    <xf numFmtId="10" fontId="20" fillId="10" borderId="2" xfId="0" applyNumberFormat="1" applyFont="1" applyFill="1" applyBorder="1" applyAlignment="1">
      <alignment horizontal="center"/>
    </xf>
    <xf numFmtId="0" fontId="24" fillId="0" borderId="0" xfId="0" applyFont="1"/>
    <xf numFmtId="176" fontId="13" fillId="0" borderId="2" xfId="0" applyNumberFormat="1" applyFont="1" applyBorder="1" applyAlignment="1">
      <alignment horizontal="right" vertical="center"/>
    </xf>
    <xf numFmtId="176" fontId="10" fillId="4" borderId="2" xfId="0" applyNumberFormat="1" applyFont="1" applyFill="1" applyBorder="1" applyAlignment="1">
      <alignment horizontal="right" vertical="center"/>
    </xf>
    <xf numFmtId="0" fontId="23" fillId="2" borderId="2" xfId="0" applyFont="1" applyFill="1" applyBorder="1" applyAlignment="1">
      <alignment horizontal="center" vertical="center" wrapText="1"/>
    </xf>
    <xf numFmtId="0" fontId="22" fillId="0" borderId="2" xfId="0" applyFont="1" applyBorder="1"/>
    <xf numFmtId="0" fontId="22" fillId="0" borderId="0" xfId="0" applyFont="1" applyAlignment="1">
      <alignment horizontal="center" vertical="center"/>
    </xf>
    <xf numFmtId="173" fontId="22" fillId="0" borderId="2" xfId="0" applyNumberFormat="1" applyFont="1" applyBorder="1"/>
    <xf numFmtId="0" fontId="20" fillId="7" borderId="0" xfId="0" applyFont="1" applyFill="1" applyAlignment="1">
      <alignment horizontal="left" vertical="center"/>
    </xf>
    <xf numFmtId="165" fontId="20" fillId="7" borderId="2" xfId="0" applyNumberFormat="1" applyFont="1" applyFill="1" applyBorder="1" applyAlignment="1">
      <alignment horizontal="center" vertical="center"/>
    </xf>
    <xf numFmtId="2" fontId="20" fillId="7" borderId="2" xfId="0" applyNumberFormat="1" applyFont="1" applyFill="1" applyBorder="1" applyAlignment="1">
      <alignment horizontal="center" vertical="center"/>
    </xf>
    <xf numFmtId="0" fontId="22" fillId="0" borderId="0" xfId="0" applyFont="1"/>
    <xf numFmtId="4" fontId="0" fillId="0" borderId="0" xfId="0" applyNumberFormat="1"/>
    <xf numFmtId="0" fontId="23" fillId="3" borderId="2" xfId="0" applyFont="1" applyFill="1" applyBorder="1" applyAlignment="1">
      <alignment horizontal="center" vertical="center" wrapText="1"/>
    </xf>
    <xf numFmtId="167" fontId="22" fillId="0" borderId="2" xfId="0" applyNumberFormat="1" applyFont="1" applyBorder="1" applyAlignment="1">
      <alignment horizontal="center" vertical="center"/>
    </xf>
    <xf numFmtId="167" fontId="22" fillId="0" borderId="2" xfId="0" applyNumberFormat="1" applyFont="1" applyBorder="1"/>
    <xf numFmtId="168" fontId="13" fillId="0" borderId="2" xfId="0" applyNumberFormat="1" applyFont="1" applyBorder="1" applyAlignment="1">
      <alignment horizontal="right" vertical="center"/>
    </xf>
    <xf numFmtId="168" fontId="10" fillId="4" borderId="2" xfId="0" applyNumberFormat="1" applyFont="1" applyFill="1" applyBorder="1" applyAlignment="1">
      <alignment horizontal="right" vertical="center"/>
    </xf>
    <xf numFmtId="175" fontId="13" fillId="0" borderId="2" xfId="0" applyNumberFormat="1" applyFont="1" applyBorder="1" applyAlignment="1">
      <alignment horizontal="right" vertical="center"/>
    </xf>
    <xf numFmtId="175" fontId="10" fillId="4" borderId="2" xfId="0" applyNumberFormat="1" applyFont="1" applyFill="1" applyBorder="1" applyAlignment="1">
      <alignment horizontal="right" vertical="center"/>
    </xf>
    <xf numFmtId="170" fontId="13" fillId="0" borderId="2" xfId="0" applyNumberFormat="1" applyFont="1" applyBorder="1" applyAlignment="1">
      <alignment horizontal="right" vertical="center"/>
    </xf>
    <xf numFmtId="170" fontId="10" fillId="4" borderId="2" xfId="0" applyNumberFormat="1" applyFont="1" applyFill="1" applyBorder="1" applyAlignment="1">
      <alignment horizontal="right" vertical="center"/>
    </xf>
    <xf numFmtId="168" fontId="12" fillId="0" borderId="2" xfId="0" applyNumberFormat="1" applyFont="1" applyBorder="1" applyAlignment="1">
      <alignment horizontal="right" vertical="center"/>
    </xf>
    <xf numFmtId="0" fontId="23" fillId="2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/>
    </xf>
    <xf numFmtId="177" fontId="26" fillId="9" borderId="2" xfId="0" applyNumberFormat="1" applyFont="1" applyFill="1" applyBorder="1" applyAlignment="1">
      <alignment horizontal="right" vertical="center"/>
    </xf>
    <xf numFmtId="0" fontId="20" fillId="5" borderId="0" xfId="0" applyFont="1" applyFill="1" applyAlignment="1">
      <alignment horizontal="left" vertical="center"/>
    </xf>
    <xf numFmtId="177" fontId="20" fillId="5" borderId="2" xfId="0" applyNumberFormat="1" applyFont="1" applyFill="1" applyBorder="1" applyAlignment="1">
      <alignment horizontal="right" vertical="center"/>
    </xf>
    <xf numFmtId="3" fontId="26" fillId="9" borderId="2" xfId="0" applyNumberFormat="1" applyFont="1" applyFill="1" applyBorder="1" applyAlignment="1">
      <alignment horizontal="center" vertical="center"/>
    </xf>
    <xf numFmtId="172" fontId="20" fillId="5" borderId="2" xfId="0" applyNumberFormat="1" applyFont="1" applyFill="1" applyBorder="1" applyAlignment="1">
      <alignment horizontal="center" vertical="center"/>
    </xf>
    <xf numFmtId="172" fontId="20" fillId="10" borderId="2" xfId="0" applyNumberFormat="1" applyFont="1" applyFill="1" applyBorder="1" applyAlignment="1">
      <alignment horizontal="center" vertical="center"/>
    </xf>
    <xf numFmtId="172" fontId="26" fillId="9" borderId="2" xfId="0" applyNumberFormat="1" applyFont="1" applyFill="1" applyBorder="1" applyAlignment="1">
      <alignment horizontal="center" vertical="center"/>
    </xf>
    <xf numFmtId="0" fontId="26" fillId="5" borderId="0" xfId="0" applyFont="1" applyFill="1" applyAlignment="1">
      <alignment horizontal="left" vertical="center"/>
    </xf>
    <xf numFmtId="168" fontId="26" fillId="5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167" fontId="23" fillId="3" borderId="2" xfId="0" applyNumberFormat="1" applyFont="1" applyFill="1" applyBorder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172" fontId="26" fillId="9" borderId="2" xfId="0" applyNumberFormat="1" applyFont="1" applyFill="1" applyBorder="1" applyAlignment="1">
      <alignment horizontal="center"/>
    </xf>
    <xf numFmtId="0" fontId="26" fillId="11" borderId="0" xfId="0" applyFont="1" applyFill="1" applyAlignment="1">
      <alignment horizontal="left" vertical="center"/>
    </xf>
    <xf numFmtId="172" fontId="2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72" fontId="20" fillId="10" borderId="0" xfId="0" applyNumberFormat="1" applyFont="1" applyFill="1" applyAlignment="1">
      <alignment horizontal="center" vertical="center"/>
    </xf>
    <xf numFmtId="0" fontId="32" fillId="0" borderId="0" xfId="0" applyFont="1"/>
    <xf numFmtId="0" fontId="33" fillId="3" borderId="0" xfId="0" applyFont="1" applyFill="1" applyAlignment="1">
      <alignment horizontal="center" vertical="center" wrapText="1"/>
    </xf>
    <xf numFmtId="0" fontId="34" fillId="11" borderId="0" xfId="0" applyFont="1" applyFill="1" applyAlignment="1">
      <alignment horizontal="left" vertical="center" wrapText="1" indent="1"/>
    </xf>
    <xf numFmtId="0" fontId="35" fillId="11" borderId="0" xfId="0" applyFont="1" applyFill="1" applyAlignment="1">
      <alignment horizontal="left" vertical="center" wrapText="1" indent="1"/>
    </xf>
    <xf numFmtId="168" fontId="36" fillId="9" borderId="4" xfId="0" applyNumberFormat="1" applyFont="1" applyFill="1" applyBorder="1" applyAlignment="1">
      <alignment horizontal="center" vertical="center" wrapText="1"/>
    </xf>
    <xf numFmtId="0" fontId="37" fillId="11" borderId="0" xfId="0" applyFont="1" applyFill="1"/>
    <xf numFmtId="0" fontId="32" fillId="0" borderId="5" xfId="0" applyFont="1" applyBorder="1" applyAlignment="1">
      <alignment horizontal="left" vertical="center" wrapText="1" indent="1"/>
    </xf>
    <xf numFmtId="0" fontId="38" fillId="13" borderId="4" xfId="0" applyFont="1" applyFill="1" applyBorder="1" applyAlignment="1">
      <alignment horizontal="center" vertical="center" wrapText="1"/>
    </xf>
    <xf numFmtId="0" fontId="39" fillId="13" borderId="4" xfId="0" applyFont="1" applyFill="1" applyBorder="1" applyAlignment="1">
      <alignment horizontal="center" vertical="center" wrapText="1"/>
    </xf>
    <xf numFmtId="168" fontId="40" fillId="9" borderId="4" xfId="0" applyNumberFormat="1" applyFont="1" applyFill="1" applyBorder="1" applyAlignment="1">
      <alignment horizontal="center" vertical="center" wrapText="1"/>
    </xf>
    <xf numFmtId="0" fontId="41" fillId="0" borderId="5" xfId="0" applyFont="1" applyBorder="1" applyAlignment="1">
      <alignment horizontal="left" vertical="center" wrapText="1" indent="1"/>
    </xf>
    <xf numFmtId="0" fontId="43" fillId="7" borderId="4" xfId="0" applyFont="1" applyFill="1" applyBorder="1" applyAlignment="1">
      <alignment horizontal="center" vertical="center" wrapText="1"/>
    </xf>
    <xf numFmtId="0" fontId="39" fillId="7" borderId="4" xfId="0" applyFont="1" applyFill="1" applyBorder="1" applyAlignment="1">
      <alignment horizontal="center" vertical="center" wrapText="1"/>
    </xf>
    <xf numFmtId="0" fontId="44" fillId="14" borderId="4" xfId="0" applyFont="1" applyFill="1" applyBorder="1" applyAlignment="1">
      <alignment horizontal="center" vertical="center" wrapText="1"/>
    </xf>
    <xf numFmtId="0" fontId="39" fillId="14" borderId="4" xfId="0" applyFont="1" applyFill="1" applyBorder="1" applyAlignment="1">
      <alignment horizontal="center" vertical="center" wrapText="1"/>
    </xf>
    <xf numFmtId="0" fontId="32" fillId="11" borderId="0" xfId="0" applyFont="1" applyFill="1" applyAlignment="1">
      <alignment horizontal="left" vertical="center" wrapText="1" indent="1"/>
    </xf>
    <xf numFmtId="0" fontId="44" fillId="11" borderId="0" xfId="0" applyFont="1" applyFill="1" applyAlignment="1">
      <alignment horizontal="center" vertical="center" wrapText="1"/>
    </xf>
    <xf numFmtId="0" fontId="39" fillId="11" borderId="0" xfId="0" applyFont="1" applyFill="1" applyAlignment="1">
      <alignment horizontal="center" vertical="center" wrapText="1"/>
    </xf>
    <xf numFmtId="168" fontId="40" fillId="11" borderId="0" xfId="0" applyNumberFormat="1" applyFont="1" applyFill="1" applyAlignment="1">
      <alignment horizontal="center" vertical="center" wrapText="1"/>
    </xf>
    <xf numFmtId="0" fontId="0" fillId="11" borderId="0" xfId="0" applyFill="1"/>
    <xf numFmtId="0" fontId="41" fillId="11" borderId="0" xfId="0" applyFont="1" applyFill="1" applyAlignment="1">
      <alignment horizontal="left" vertical="center" wrapText="1" indent="1"/>
    </xf>
    <xf numFmtId="10" fontId="0" fillId="0" borderId="0" xfId="0" applyNumberFormat="1"/>
    <xf numFmtId="0" fontId="32" fillId="11" borderId="5" xfId="0" applyFont="1" applyFill="1" applyBorder="1" applyAlignment="1">
      <alignment horizontal="left" vertical="center" wrapText="1" indent="1"/>
    </xf>
    <xf numFmtId="0" fontId="44" fillId="11" borderId="4" xfId="0" applyFont="1" applyFill="1" applyBorder="1" applyAlignment="1">
      <alignment horizontal="center" vertical="center" wrapText="1"/>
    </xf>
    <xf numFmtId="0" fontId="39" fillId="11" borderId="4" xfId="0" applyFont="1" applyFill="1" applyBorder="1" applyAlignment="1">
      <alignment horizontal="center" vertical="center" wrapText="1"/>
    </xf>
    <xf numFmtId="168" fontId="40" fillId="11" borderId="4" xfId="0" applyNumberFormat="1" applyFont="1" applyFill="1" applyBorder="1" applyAlignment="1">
      <alignment horizontal="center" vertical="center" wrapText="1"/>
    </xf>
    <xf numFmtId="0" fontId="41" fillId="11" borderId="5" xfId="0" applyFont="1" applyFill="1" applyBorder="1" applyAlignment="1">
      <alignment horizontal="left" vertical="center" wrapText="1" indent="1"/>
    </xf>
    <xf numFmtId="0" fontId="45" fillId="11" borderId="4" xfId="0" applyFont="1" applyFill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9" fontId="0" fillId="0" borderId="0" xfId="0" applyNumberFormat="1"/>
    <xf numFmtId="0" fontId="9" fillId="11" borderId="0" xfId="0" applyFont="1" applyFill="1" applyAlignment="1">
      <alignment horizontal="left" vertical="center" wrapText="1" indent="1"/>
    </xf>
    <xf numFmtId="10" fontId="0" fillId="9" borderId="0" xfId="0" applyNumberFormat="1" applyFill="1"/>
    <xf numFmtId="176" fontId="36" fillId="11" borderId="4" xfId="0" applyNumberFormat="1" applyFont="1" applyFill="1" applyBorder="1" applyAlignment="1">
      <alignment horizontal="center" vertical="center" wrapText="1"/>
    </xf>
    <xf numFmtId="176" fontId="40" fillId="9" borderId="4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176" fontId="40" fillId="11" borderId="4" xfId="0" applyNumberFormat="1" applyFont="1" applyFill="1" applyBorder="1" applyAlignment="1">
      <alignment horizontal="center" vertical="center" wrapText="1"/>
    </xf>
    <xf numFmtId="176" fontId="36" fillId="9" borderId="4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 indent="1"/>
    </xf>
    <xf numFmtId="0" fontId="44" fillId="14" borderId="0" xfId="0" applyFont="1" applyFill="1" applyAlignment="1">
      <alignment horizontal="center" vertical="center" wrapText="1"/>
    </xf>
    <xf numFmtId="0" fontId="39" fillId="14" borderId="0" xfId="0" applyFont="1" applyFill="1" applyAlignment="1">
      <alignment horizontal="center" vertical="center" wrapText="1"/>
    </xf>
    <xf numFmtId="176" fontId="40" fillId="9" borderId="0" xfId="0" applyNumberFormat="1" applyFont="1" applyFill="1" applyAlignment="1">
      <alignment horizontal="center" vertical="center" wrapText="1"/>
    </xf>
    <xf numFmtId="0" fontId="41" fillId="0" borderId="0" xfId="0" applyFont="1" applyAlignment="1">
      <alignment horizontal="left" vertical="center" wrapText="1" indent="1"/>
    </xf>
    <xf numFmtId="168" fontId="0" fillId="0" borderId="0" xfId="0" applyNumberFormat="1"/>
    <xf numFmtId="168" fontId="40" fillId="9" borderId="0" xfId="0" applyNumberFormat="1" applyFont="1" applyFill="1" applyAlignment="1">
      <alignment horizontal="center" vertical="center" wrapText="1"/>
    </xf>
    <xf numFmtId="168" fontId="36" fillId="9" borderId="0" xfId="0" applyNumberFormat="1" applyFont="1" applyFill="1" applyAlignment="1">
      <alignment horizontal="center" vertical="center" wrapText="1"/>
    </xf>
    <xf numFmtId="0" fontId="46" fillId="11" borderId="0" xfId="0" applyFont="1" applyFill="1"/>
    <xf numFmtId="0" fontId="12" fillId="11" borderId="0" xfId="0" applyFont="1" applyFill="1"/>
    <xf numFmtId="0" fontId="46" fillId="4" borderId="0" xfId="0" applyFont="1" applyFill="1"/>
    <xf numFmtId="0" fontId="12" fillId="4" borderId="0" xfId="0" applyFont="1" applyFill="1"/>
    <xf numFmtId="0" fontId="51" fillId="17" borderId="7" xfId="0" applyFont="1" applyFill="1" applyBorder="1" applyAlignment="1">
      <alignment horizontal="center" vertical="center"/>
    </xf>
    <xf numFmtId="0" fontId="52" fillId="18" borderId="8" xfId="0" applyFont="1" applyFill="1" applyBorder="1" applyAlignment="1">
      <alignment horizontal="left" vertical="center"/>
    </xf>
    <xf numFmtId="3" fontId="53" fillId="18" borderId="8" xfId="0" applyNumberFormat="1" applyFont="1" applyFill="1" applyBorder="1" applyAlignment="1">
      <alignment horizontal="right" vertical="center"/>
    </xf>
    <xf numFmtId="168" fontId="54" fillId="18" borderId="8" xfId="0" applyNumberFormat="1" applyFont="1" applyFill="1" applyBorder="1" applyAlignment="1">
      <alignment horizontal="center" vertical="center"/>
    </xf>
    <xf numFmtId="0" fontId="52" fillId="19" borderId="8" xfId="0" applyFont="1" applyFill="1" applyBorder="1" applyAlignment="1">
      <alignment horizontal="left" vertical="center"/>
    </xf>
    <xf numFmtId="3" fontId="53" fillId="19" borderId="8" xfId="0" applyNumberFormat="1" applyFont="1" applyFill="1" applyBorder="1" applyAlignment="1">
      <alignment horizontal="right" vertical="center"/>
    </xf>
    <xf numFmtId="168" fontId="54" fillId="19" borderId="8" xfId="0" applyNumberFormat="1" applyFont="1" applyFill="1" applyBorder="1" applyAlignment="1">
      <alignment horizontal="center" vertical="center"/>
    </xf>
    <xf numFmtId="0" fontId="55" fillId="20" borderId="2" xfId="0" applyFont="1" applyFill="1" applyBorder="1" applyAlignment="1">
      <alignment horizontal="left" vertical="center"/>
    </xf>
    <xf numFmtId="0" fontId="56" fillId="20" borderId="2" xfId="0" applyFont="1" applyFill="1" applyBorder="1" applyAlignment="1">
      <alignment horizontal="right" vertical="center"/>
    </xf>
    <xf numFmtId="168" fontId="55" fillId="20" borderId="2" xfId="0" applyNumberFormat="1" applyFont="1" applyFill="1" applyBorder="1" applyAlignment="1">
      <alignment horizontal="center" vertical="center"/>
    </xf>
    <xf numFmtId="0" fontId="52" fillId="18" borderId="9" xfId="0" applyFont="1" applyFill="1" applyBorder="1" applyAlignment="1">
      <alignment horizontal="left" vertical="center"/>
    </xf>
    <xf numFmtId="3" fontId="53" fillId="18" borderId="9" xfId="0" applyNumberFormat="1" applyFont="1" applyFill="1" applyBorder="1" applyAlignment="1">
      <alignment horizontal="right" vertical="center"/>
    </xf>
    <xf numFmtId="0" fontId="56" fillId="18" borderId="9" xfId="0" applyFont="1" applyFill="1" applyBorder="1" applyAlignment="1">
      <alignment horizontal="center" vertical="center"/>
    </xf>
    <xf numFmtId="0" fontId="52" fillId="19" borderId="9" xfId="0" applyFont="1" applyFill="1" applyBorder="1" applyAlignment="1">
      <alignment horizontal="left" vertical="center"/>
    </xf>
    <xf numFmtId="3" fontId="53" fillId="19" borderId="9" xfId="0" applyNumberFormat="1" applyFont="1" applyFill="1" applyBorder="1" applyAlignment="1">
      <alignment horizontal="right" vertical="center"/>
    </xf>
    <xf numFmtId="168" fontId="61" fillId="19" borderId="9" xfId="0" applyNumberFormat="1" applyFont="1" applyFill="1" applyBorder="1" applyAlignment="1">
      <alignment horizontal="center" vertical="center"/>
    </xf>
    <xf numFmtId="168" fontId="61" fillId="18" borderId="9" xfId="0" applyNumberFormat="1" applyFont="1" applyFill="1" applyBorder="1" applyAlignment="1">
      <alignment horizontal="center" vertical="center"/>
    </xf>
    <xf numFmtId="168" fontId="62" fillId="19" borderId="9" xfId="0" applyNumberFormat="1" applyFont="1" applyFill="1" applyBorder="1" applyAlignment="1">
      <alignment horizontal="center" vertical="center"/>
    </xf>
    <xf numFmtId="0" fontId="55" fillId="20" borderId="10" xfId="0" applyFont="1" applyFill="1" applyBorder="1" applyAlignment="1">
      <alignment horizontal="left" vertical="center"/>
    </xf>
    <xf numFmtId="0" fontId="63" fillId="20" borderId="10" xfId="0" applyFont="1" applyFill="1" applyBorder="1" applyAlignment="1">
      <alignment horizontal="center" vertical="center"/>
    </xf>
    <xf numFmtId="168" fontId="63" fillId="20" borderId="10" xfId="0" applyNumberFormat="1" applyFont="1" applyFill="1" applyBorder="1" applyAlignment="1">
      <alignment horizontal="center" vertical="center"/>
    </xf>
    <xf numFmtId="168" fontId="66" fillId="18" borderId="9" xfId="0" applyNumberFormat="1" applyFont="1" applyFill="1" applyBorder="1" applyAlignment="1">
      <alignment horizontal="center" vertical="center"/>
    </xf>
    <xf numFmtId="168" fontId="68" fillId="19" borderId="9" xfId="0" applyNumberFormat="1" applyFont="1" applyFill="1" applyBorder="1" applyAlignment="1">
      <alignment horizontal="center" vertical="center"/>
    </xf>
    <xf numFmtId="168" fontId="68" fillId="18" borderId="9" xfId="0" applyNumberFormat="1" applyFont="1" applyFill="1" applyBorder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left" vertical="center" wrapText="1"/>
    </xf>
    <xf numFmtId="0" fontId="30" fillId="2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indent="1"/>
    </xf>
    <xf numFmtId="0" fontId="32" fillId="0" borderId="5" xfId="0" applyFont="1" applyBorder="1" applyAlignment="1">
      <alignment horizontal="left" vertical="center" wrapText="1" indent="1"/>
    </xf>
    <xf numFmtId="0" fontId="41" fillId="0" borderId="5" xfId="0" applyFont="1" applyBorder="1" applyAlignment="1">
      <alignment horizontal="left" vertical="center" wrapText="1" indent="1"/>
    </xf>
    <xf numFmtId="0" fontId="42" fillId="0" borderId="5" xfId="0" applyFont="1" applyBorder="1" applyAlignment="1">
      <alignment horizontal="left" vertical="center" wrapText="1" indent="1"/>
    </xf>
    <xf numFmtId="0" fontId="47" fillId="15" borderId="6" xfId="0" applyFont="1" applyFill="1" applyBorder="1" applyAlignment="1">
      <alignment horizontal="center" vertical="center"/>
    </xf>
    <xf numFmtId="0" fontId="48" fillId="16" borderId="0" xfId="0" applyFont="1" applyFill="1" applyAlignment="1">
      <alignment horizontal="center" vertical="center"/>
    </xf>
    <xf numFmtId="0" fontId="49" fillId="15" borderId="6" xfId="0" applyFont="1" applyFill="1" applyBorder="1" applyAlignment="1">
      <alignment horizontal="left" vertical="center"/>
    </xf>
    <xf numFmtId="0" fontId="50" fillId="16" borderId="0" xfId="0" applyFont="1" applyFill="1" applyAlignment="1">
      <alignment horizontal="left" vertical="center"/>
    </xf>
    <xf numFmtId="0" fontId="57" fillId="21" borderId="0" xfId="0" applyFont="1" applyFill="1" applyAlignment="1">
      <alignment horizontal="left" vertical="center" wrapText="1"/>
    </xf>
    <xf numFmtId="0" fontId="58" fillId="22" borderId="0" xfId="0" applyFont="1" applyFill="1" applyAlignment="1">
      <alignment horizontal="left" vertical="center" wrapText="1"/>
    </xf>
    <xf numFmtId="0" fontId="49" fillId="15" borderId="0" xfId="0" applyFont="1" applyFill="1" applyAlignment="1">
      <alignment horizontal="left" vertical="center"/>
    </xf>
    <xf numFmtId="0" fontId="59" fillId="16" borderId="0" xfId="0" applyFont="1" applyFill="1" applyAlignment="1">
      <alignment horizontal="left" vertical="center"/>
    </xf>
    <xf numFmtId="0" fontId="51" fillId="17" borderId="7" xfId="0" applyFont="1" applyFill="1" applyBorder="1" applyAlignment="1">
      <alignment horizontal="center" vertical="center"/>
    </xf>
    <xf numFmtId="0" fontId="60" fillId="18" borderId="9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left" vertical="center"/>
    </xf>
    <xf numFmtId="0" fontId="64" fillId="20" borderId="10" xfId="0" applyFont="1" applyFill="1" applyBorder="1" applyAlignment="1">
      <alignment horizontal="left" vertical="center"/>
    </xf>
    <xf numFmtId="0" fontId="65" fillId="16" borderId="0" xfId="0" applyFont="1" applyFill="1" applyAlignment="1">
      <alignment horizontal="left" vertical="center"/>
    </xf>
    <xf numFmtId="0" fontId="67" fillId="18" borderId="9" xfId="0" applyFont="1" applyFill="1" applyBorder="1" applyAlignment="1">
      <alignment horizontal="left" vertical="center" wrapText="1"/>
    </xf>
    <xf numFmtId="0" fontId="67" fillId="19" borderId="9" xfId="0" applyFont="1" applyFill="1" applyBorder="1" applyAlignment="1">
      <alignment horizontal="left" vertical="center" wrapText="1"/>
    </xf>
    <xf numFmtId="0" fontId="68" fillId="21" borderId="0" xfId="0" applyFont="1" applyFill="1" applyAlignment="1">
      <alignment horizontal="left" vertical="center"/>
    </xf>
    <xf numFmtId="0" fontId="69" fillId="22" borderId="0" xfId="0" applyFont="1" applyFill="1" applyAlignment="1">
      <alignment horizontal="left" vertical="center"/>
    </xf>
    <xf numFmtId="0" fontId="70" fillId="23" borderId="0" xfId="0" applyFont="1" applyFill="1" applyAlignment="1">
      <alignment horizontal="left" vertical="center" wrapText="1"/>
    </xf>
    <xf numFmtId="0" fontId="71" fillId="24" borderId="0" xfId="0" applyFont="1" applyFill="1" applyAlignment="1">
      <alignment horizontal="left" vertical="center" wrapText="1"/>
    </xf>
    <xf numFmtId="0" fontId="72" fillId="25" borderId="0" xfId="0" applyFont="1" applyFill="1" applyAlignment="1">
      <alignment horizontal="left" vertical="center"/>
    </xf>
  </cellXfs>
  <cellStyles count="3">
    <cellStyle name="fontSize10HorizontalRight" xfId="1" xr:uid="{00000000-0005-0000-0000-000006000000}"/>
    <cellStyle name="fontSize10HorizontalRightBold" xfId="2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5F5F5"/>
      <rgbColor rgb="FF8B1A1A"/>
      <rgbColor rgb="FF006400"/>
      <rgbColor rgb="FF00008B"/>
      <rgbColor rgb="FF555555"/>
      <rgbColor rgb="FF800080"/>
      <rgbColor rgb="FF1B6CA8"/>
      <rgbColor rgb="FFBFBFBF"/>
      <rgbColor rgb="FF888888"/>
      <rgbColor rgb="FFD6E4F0"/>
      <rgbColor rgb="FFC0392B"/>
      <rgbColor rgb="FFF8F5EF"/>
      <rgbColor rgb="FFE8F5E9"/>
      <rgbColor rgb="FF006100"/>
      <rgbColor rgb="FFF2F2F2"/>
      <rgbColor rgb="FF0563C1"/>
      <rgbColor rgb="FFBDD7EE"/>
      <rgbColor rgb="FF1A5C1A"/>
      <rgbColor rgb="FFFF00FF"/>
      <rgbColor rgb="FFFDECEA"/>
      <rgbColor rgb="FFF8F8F8"/>
      <rgbColor rgb="FF800080"/>
      <rgbColor rgb="FF800000"/>
      <rgbColor rgb="FF1F5C1F"/>
      <rgbColor rgb="FF0000FF"/>
      <rgbColor rgb="FF00CCFF"/>
      <rgbColor rgb="FFEBF4FA"/>
      <rgbColor rgb="FFE2EFDA"/>
      <rgbColor rgb="FFFCE4D6"/>
      <rgbColor rgb="FFBBBBBB"/>
      <rgbColor rgb="FFD0D0D0"/>
      <rgbColor rgb="FFCCCCCC"/>
      <rgbColor rgb="FFFFC7CE"/>
      <rgbColor rgb="FF2E75B6"/>
      <rgbColor rgb="FFF1FAF1"/>
      <rgbColor rgb="FFDEEAF1"/>
      <rgbColor rgb="FFFFD700"/>
      <rgbColor rgb="FFFDF4F4"/>
      <rgbColor rgb="FFFF6600"/>
      <rgbColor rgb="FF666666"/>
      <rgbColor rgb="FFAAAAAA"/>
      <rgbColor rgb="FF1B3A5C"/>
      <rgbColor rgb="FF4A90D9"/>
      <rgbColor rgb="FF0D1B2A"/>
      <rgbColor rgb="FF444444"/>
      <rgbColor rgb="FF833C00"/>
      <rgbColor rgb="FF595959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tabSelected="1" zoomScaleNormal="100" workbookViewId="0">
      <selection activeCell="C15" sqref="C15"/>
    </sheetView>
  </sheetViews>
  <sheetFormatPr baseColWidth="10" defaultColWidth="8.6640625" defaultRowHeight="15" x14ac:dyDescent="0.2"/>
  <cols>
    <col min="1" max="4" width="20" customWidth="1"/>
  </cols>
  <sheetData>
    <row r="1" spans="1:4" ht="199.5" customHeight="1" x14ac:dyDescent="0.2">
      <c r="A1" s="8" t="s">
        <v>0</v>
      </c>
      <c r="B1" s="8"/>
      <c r="C1" s="8"/>
      <c r="D1" s="8"/>
    </row>
    <row r="2" spans="1:4" ht="15" customHeight="1" x14ac:dyDescent="0.2">
      <c r="A2" s="8"/>
      <c r="B2" s="8"/>
      <c r="C2" s="8"/>
      <c r="D2" s="8"/>
    </row>
    <row r="3" spans="1:4" ht="15" customHeight="1" x14ac:dyDescent="0.2">
      <c r="A3" s="8"/>
      <c r="B3" s="8"/>
      <c r="C3" s="8"/>
      <c r="D3" s="8"/>
    </row>
    <row r="4" spans="1:4" ht="15" customHeight="1" x14ac:dyDescent="0.2">
      <c r="A4" s="8"/>
      <c r="B4" s="8"/>
      <c r="C4" s="8"/>
      <c r="D4" s="8"/>
    </row>
    <row r="5" spans="1:4" ht="15" customHeight="1" x14ac:dyDescent="0.2">
      <c r="A5" s="8"/>
      <c r="B5" s="8"/>
      <c r="C5" s="8"/>
      <c r="D5" s="8"/>
    </row>
    <row r="6" spans="1:4" ht="15" customHeight="1" x14ac:dyDescent="0.2">
      <c r="A6" s="8"/>
      <c r="B6" s="8"/>
      <c r="C6" s="8"/>
      <c r="D6" s="8"/>
    </row>
    <row r="7" spans="1:4" ht="15" customHeight="1" x14ac:dyDescent="0.2">
      <c r="A7" s="8"/>
      <c r="B7" s="8"/>
      <c r="C7" s="8"/>
      <c r="D7" s="8"/>
    </row>
    <row r="8" spans="1:4" ht="15" customHeight="1" x14ac:dyDescent="0.2">
      <c r="A8" s="8"/>
      <c r="B8" s="8"/>
      <c r="C8" s="8"/>
      <c r="D8" s="8"/>
    </row>
    <row r="9" spans="1:4" ht="21.75" customHeight="1" x14ac:dyDescent="0.2">
      <c r="A9" s="15" t="s">
        <v>1</v>
      </c>
      <c r="B9" s="16" t="s">
        <v>2</v>
      </c>
    </row>
    <row r="10" spans="1:4" ht="21.75" customHeight="1" x14ac:dyDescent="0.2">
      <c r="A10" s="15" t="s">
        <v>3</v>
      </c>
      <c r="B10" s="16" t="s">
        <v>503</v>
      </c>
    </row>
    <row r="11" spans="1:4" ht="21.75" customHeight="1" x14ac:dyDescent="0.2">
      <c r="A11" s="15" t="s">
        <v>4</v>
      </c>
      <c r="B11" s="16" t="s">
        <v>5</v>
      </c>
    </row>
    <row r="12" spans="1:4" ht="21.75" customHeight="1" x14ac:dyDescent="0.2">
      <c r="A12" s="15" t="s">
        <v>6</v>
      </c>
      <c r="B12" s="16" t="s">
        <v>7</v>
      </c>
    </row>
    <row r="13" spans="1:4" ht="21.75" customHeight="1" x14ac:dyDescent="0.2">
      <c r="A13" s="15" t="s">
        <v>8</v>
      </c>
      <c r="B13" s="16" t="s">
        <v>9</v>
      </c>
    </row>
    <row r="14" spans="1:4" ht="21.75" customHeight="1" x14ac:dyDescent="0.2">
      <c r="A14" s="15" t="s">
        <v>10</v>
      </c>
      <c r="B14" s="16" t="s">
        <v>11</v>
      </c>
    </row>
    <row r="15" spans="1:4" ht="21.75" customHeight="1" x14ac:dyDescent="0.2">
      <c r="A15" s="15" t="s">
        <v>12</v>
      </c>
      <c r="B15" s="16" t="s">
        <v>13</v>
      </c>
    </row>
  </sheetData>
  <mergeCells count="1">
    <mergeCell ref="A1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37" sqref="C37"/>
    </sheetView>
  </sheetViews>
  <sheetFormatPr baseColWidth="10" defaultColWidth="8.6640625" defaultRowHeight="15" x14ac:dyDescent="0.2"/>
  <cols>
    <col min="1" max="1" width="38" customWidth="1"/>
    <col min="2" max="2" width="2" customWidth="1"/>
    <col min="3" max="13" width="12" customWidth="1"/>
  </cols>
  <sheetData>
    <row r="1" spans="1:14" ht="25.5" customHeight="1" x14ac:dyDescent="0.2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ht="15" customHeight="1" x14ac:dyDescent="0.2">
      <c r="A2" s="13" t="s">
        <v>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4" ht="15.75" customHeight="1" x14ac:dyDescent="0.2">
      <c r="A4" s="19" t="s">
        <v>16</v>
      </c>
      <c r="C4" s="12" t="s">
        <v>17</v>
      </c>
      <c r="D4" s="12"/>
      <c r="E4" s="12"/>
      <c r="F4" s="12"/>
      <c r="G4" s="12"/>
      <c r="H4" s="20"/>
      <c r="I4" s="11" t="s">
        <v>18</v>
      </c>
      <c r="J4" s="11"/>
      <c r="K4" s="11"/>
      <c r="L4" s="11"/>
      <c r="M4" s="11"/>
    </row>
    <row r="5" spans="1:14" ht="18" customHeight="1" x14ac:dyDescent="0.2"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23</v>
      </c>
      <c r="H5" s="20">
        <v>2025</v>
      </c>
      <c r="I5" s="21" t="s">
        <v>24</v>
      </c>
      <c r="J5" s="21" t="s">
        <v>25</v>
      </c>
      <c r="K5" s="21" t="s">
        <v>26</v>
      </c>
      <c r="L5" s="21" t="s">
        <v>27</v>
      </c>
      <c r="M5" s="21" t="s">
        <v>28</v>
      </c>
    </row>
    <row r="6" spans="1:14" ht="15.75" customHeight="1" x14ac:dyDescent="0.2">
      <c r="A6" s="22" t="s">
        <v>29</v>
      </c>
      <c r="C6" s="23">
        <v>1385951</v>
      </c>
      <c r="D6" s="23">
        <v>2313416</v>
      </c>
      <c r="E6" s="23">
        <v>3554985</v>
      </c>
      <c r="F6" s="23">
        <v>3962347</v>
      </c>
      <c r="G6" s="23">
        <v>4102108</v>
      </c>
      <c r="H6" s="23">
        <v>4040647</v>
      </c>
      <c r="I6" s="24">
        <f>H6*(1+'Assumptions 1'!D6)</f>
        <v>4000240.53</v>
      </c>
      <c r="J6" s="24">
        <f>I6*(1+'Assumptions 1'!E6)</f>
        <v>4040242.9353</v>
      </c>
      <c r="K6" s="24">
        <f>J6*(1+'Assumptions 1'!F6)</f>
        <v>4141249.0086824996</v>
      </c>
      <c r="L6" s="24">
        <f>K6*(1+'Assumptions 1'!G6)</f>
        <v>4286192.7239863873</v>
      </c>
      <c r="M6" s="24">
        <f>L6*(1+'Assumptions 1'!H6)</f>
        <v>4470499.011117802</v>
      </c>
      <c r="N6" s="25" t="s">
        <v>30</v>
      </c>
    </row>
    <row r="7" spans="1:14" ht="15.75" customHeight="1" x14ac:dyDescent="0.2">
      <c r="A7" s="22" t="s">
        <v>31</v>
      </c>
      <c r="C7" s="26"/>
      <c r="D7" s="27">
        <f t="shared" ref="D7:M7" si="0">(D6/C6)-1</f>
        <v>0.6691903249104767</v>
      </c>
      <c r="E7" s="27">
        <f t="shared" si="0"/>
        <v>0.53668211856406289</v>
      </c>
      <c r="F7" s="27">
        <f t="shared" si="0"/>
        <v>0.11458895044564188</v>
      </c>
      <c r="G7" s="27">
        <f t="shared" si="0"/>
        <v>3.5272276759203525E-2</v>
      </c>
      <c r="H7" s="27">
        <f t="shared" si="0"/>
        <v>-1.4982784461062493E-2</v>
      </c>
      <c r="I7" s="27">
        <f t="shared" si="0"/>
        <v>-1.0000000000000009E-2</v>
      </c>
      <c r="J7" s="27">
        <f t="shared" si="0"/>
        <v>1.0000000000000009E-2</v>
      </c>
      <c r="K7" s="27">
        <f t="shared" si="0"/>
        <v>2.4999999999999911E-2</v>
      </c>
      <c r="L7" s="27">
        <f t="shared" si="0"/>
        <v>3.499999999999992E-2</v>
      </c>
      <c r="M7" s="27">
        <f t="shared" si="0"/>
        <v>4.2999999999999927E-2</v>
      </c>
    </row>
    <row r="8" spans="1:14" ht="15.75" customHeight="1" x14ac:dyDescent="0.2"/>
    <row r="9" spans="1:14" ht="15.75" customHeight="1" x14ac:dyDescent="0.2">
      <c r="A9" s="22" t="s">
        <v>32</v>
      </c>
      <c r="C9" s="23">
        <v>636003</v>
      </c>
      <c r="D9" s="23">
        <v>893196</v>
      </c>
      <c r="E9" s="23">
        <v>1694703</v>
      </c>
      <c r="F9" s="23">
        <v>1752337</v>
      </c>
      <c r="G9" s="23">
        <v>1691850</v>
      </c>
      <c r="H9" s="23">
        <v>1683592</v>
      </c>
      <c r="I9" s="24">
        <f>I6*'Assumptions 1'!D11</f>
        <v>1660099.8199499999</v>
      </c>
      <c r="J9" s="24">
        <f>J6*'Assumptions 1'!E11</f>
        <v>1668620.3322788998</v>
      </c>
      <c r="K9" s="24">
        <f>K6*'Assumptions 1'!F11</f>
        <v>1697912.0935598249</v>
      </c>
      <c r="L9" s="24">
        <f>L6*'Assumptions 1'!G11</f>
        <v>1748766.6313864458</v>
      </c>
      <c r="M9" s="24">
        <f>M6*'Assumptions 1'!H11</f>
        <v>1810552.0995027099</v>
      </c>
      <c r="N9" s="25" t="s">
        <v>33</v>
      </c>
    </row>
    <row r="10" spans="1:14" ht="15.75" customHeight="1" x14ac:dyDescent="0.2">
      <c r="A10" s="22" t="s">
        <v>34</v>
      </c>
      <c r="C10" s="27">
        <f t="shared" ref="C10:M10" si="1">C9/C6</f>
        <v>0.45889284686110837</v>
      </c>
      <c r="D10" s="27">
        <f t="shared" si="1"/>
        <v>0.38609398396138006</v>
      </c>
      <c r="E10" s="27">
        <f t="shared" si="1"/>
        <v>0.47671171608319024</v>
      </c>
      <c r="F10" s="27">
        <f t="shared" si="1"/>
        <v>0.44224723377331665</v>
      </c>
      <c r="G10" s="27">
        <f t="shared" si="1"/>
        <v>0.41243428988217767</v>
      </c>
      <c r="H10" s="27">
        <f t="shared" si="1"/>
        <v>0.41666396495412739</v>
      </c>
      <c r="I10" s="27">
        <f t="shared" si="1"/>
        <v>0.41499999999999998</v>
      </c>
      <c r="J10" s="27">
        <f t="shared" si="1"/>
        <v>0.41299999999999998</v>
      </c>
      <c r="K10" s="27">
        <f t="shared" si="1"/>
        <v>0.41</v>
      </c>
      <c r="L10" s="27">
        <f t="shared" si="1"/>
        <v>0.40799999999999997</v>
      </c>
      <c r="M10" s="27">
        <f t="shared" si="1"/>
        <v>0.40500000000000003</v>
      </c>
    </row>
    <row r="11" spans="1:14" ht="15.75" customHeight="1" x14ac:dyDescent="0.2"/>
    <row r="12" spans="1:14" ht="15.75" customHeight="1" x14ac:dyDescent="0.2">
      <c r="A12" s="28" t="s">
        <v>35</v>
      </c>
      <c r="C12" s="29">
        <f t="shared" ref="C12:M12" si="2">C6-C9</f>
        <v>749948</v>
      </c>
      <c r="D12" s="29">
        <f t="shared" si="2"/>
        <v>1420220</v>
      </c>
      <c r="E12" s="29">
        <f t="shared" si="2"/>
        <v>1860282</v>
      </c>
      <c r="F12" s="29">
        <f t="shared" si="2"/>
        <v>2210010</v>
      </c>
      <c r="G12" s="29">
        <f t="shared" si="2"/>
        <v>2410258</v>
      </c>
      <c r="H12" s="29">
        <f t="shared" si="2"/>
        <v>2357055</v>
      </c>
      <c r="I12" s="29">
        <f t="shared" si="2"/>
        <v>2340140.7100499999</v>
      </c>
      <c r="J12" s="29">
        <f t="shared" si="2"/>
        <v>2371622.6030211002</v>
      </c>
      <c r="K12" s="29">
        <f t="shared" si="2"/>
        <v>2443336.9151226748</v>
      </c>
      <c r="L12" s="29">
        <f t="shared" si="2"/>
        <v>2537426.0925999414</v>
      </c>
      <c r="M12" s="29">
        <f t="shared" si="2"/>
        <v>2659946.9116150923</v>
      </c>
    </row>
    <row r="13" spans="1:14" ht="15.75" customHeight="1" x14ac:dyDescent="0.2">
      <c r="A13" s="22" t="s">
        <v>36</v>
      </c>
      <c r="C13" s="27">
        <f t="shared" ref="C13:M13" si="3">C12/C6</f>
        <v>0.54110715313889168</v>
      </c>
      <c r="D13" s="27">
        <f t="shared" si="3"/>
        <v>0.61390601603861994</v>
      </c>
      <c r="E13" s="27">
        <f t="shared" si="3"/>
        <v>0.52328828391680982</v>
      </c>
      <c r="F13" s="27">
        <f t="shared" si="3"/>
        <v>0.55775276622668335</v>
      </c>
      <c r="G13" s="27">
        <f t="shared" si="3"/>
        <v>0.58756571011782233</v>
      </c>
      <c r="H13" s="27">
        <f t="shared" si="3"/>
        <v>0.58333603504587261</v>
      </c>
      <c r="I13" s="27">
        <f t="shared" si="3"/>
        <v>0.58499999999999996</v>
      </c>
      <c r="J13" s="27">
        <f t="shared" si="3"/>
        <v>0.58700000000000008</v>
      </c>
      <c r="K13" s="27">
        <f t="shared" si="3"/>
        <v>0.59</v>
      </c>
      <c r="L13" s="27">
        <f t="shared" si="3"/>
        <v>0.59200000000000008</v>
      </c>
      <c r="M13" s="27">
        <f t="shared" si="3"/>
        <v>0.59499999999999997</v>
      </c>
    </row>
    <row r="14" spans="1:14" ht="15.75" customHeight="1" x14ac:dyDescent="0.2"/>
    <row r="15" spans="1:14" ht="15.75" customHeight="1" x14ac:dyDescent="0.2">
      <c r="A15" s="22" t="s">
        <v>37</v>
      </c>
      <c r="C15" s="30">
        <v>514753</v>
      </c>
      <c r="D15" s="30">
        <v>737156</v>
      </c>
      <c r="E15" s="30">
        <v>982706</v>
      </c>
      <c r="F15" s="30">
        <v>1151064</v>
      </c>
      <c r="G15" s="30">
        <v>1338032</v>
      </c>
      <c r="H15" s="30">
        <v>1435580</v>
      </c>
      <c r="I15" s="24">
        <f>I6*'Assumptions 1'!D16</f>
        <v>1400084.1854999999</v>
      </c>
      <c r="J15" s="24">
        <f>J6*'Assumptions 1'!E16</f>
        <v>1393883.8126784998</v>
      </c>
      <c r="K15" s="24">
        <f>K6*'Assumptions 1'!F16</f>
        <v>1408024.6629520499</v>
      </c>
      <c r="L15" s="24">
        <f>L6*'Assumptions 1'!G16</f>
        <v>1435874.5625354399</v>
      </c>
      <c r="M15" s="24">
        <f>M6*'Assumptions 1'!H16</f>
        <v>1475264.6736688747</v>
      </c>
      <c r="N15" s="25" t="s">
        <v>38</v>
      </c>
    </row>
    <row r="16" spans="1:14" ht="15.75" customHeight="1" x14ac:dyDescent="0.2">
      <c r="A16" s="22" t="s">
        <v>34</v>
      </c>
      <c r="C16" s="27">
        <f t="shared" ref="C16:M16" si="4">C15/C6</f>
        <v>0.37140779147314734</v>
      </c>
      <c r="D16" s="27">
        <f t="shared" si="4"/>
        <v>0.31864394471206214</v>
      </c>
      <c r="E16" s="27">
        <f t="shared" si="4"/>
        <v>0.27643042094411086</v>
      </c>
      <c r="F16" s="27">
        <f t="shared" si="4"/>
        <v>0.29050055434317085</v>
      </c>
      <c r="G16" s="27">
        <f t="shared" si="4"/>
        <v>0.32618156323529268</v>
      </c>
      <c r="H16" s="27">
        <f t="shared" si="4"/>
        <v>0.35528468584362849</v>
      </c>
      <c r="I16" s="27">
        <f t="shared" si="4"/>
        <v>0.35</v>
      </c>
      <c r="J16" s="27">
        <f t="shared" si="4"/>
        <v>0.34499999999999997</v>
      </c>
      <c r="K16" s="27">
        <f t="shared" si="4"/>
        <v>0.34</v>
      </c>
      <c r="L16" s="27">
        <f t="shared" si="4"/>
        <v>0.33500000000000002</v>
      </c>
      <c r="M16" s="27">
        <f t="shared" si="4"/>
        <v>0.33</v>
      </c>
    </row>
    <row r="17" spans="1:14" ht="15.75" customHeight="1" x14ac:dyDescent="0.2">
      <c r="A17" s="22" t="s">
        <v>39</v>
      </c>
      <c r="C17" s="31"/>
      <c r="D17" s="31"/>
      <c r="E17" s="23">
        <v>26820</v>
      </c>
      <c r="F17" s="23">
        <v>12876</v>
      </c>
      <c r="G17" s="23">
        <v>26233</v>
      </c>
      <c r="H17" s="23">
        <v>33845</v>
      </c>
      <c r="I17" s="24">
        <f>I6*'Assumptions 1'!D21</f>
        <v>80004.810599999997</v>
      </c>
      <c r="J17" s="24">
        <f>J6*'Assumptions 1'!E21</f>
        <v>80804.858705999999</v>
      </c>
      <c r="K17" s="24">
        <f>K6*'Assumptions 1'!F21</f>
        <v>82824.980173649994</v>
      </c>
      <c r="L17" s="24">
        <f>L6*'Assumptions 1'!G21</f>
        <v>85723.854479727743</v>
      </c>
      <c r="M17" s="24">
        <f>M6*'Assumptions 1'!H21</f>
        <v>89409.98022235604</v>
      </c>
      <c r="N17" s="25" t="s">
        <v>40</v>
      </c>
    </row>
    <row r="18" spans="1:14" ht="15.75" customHeight="1" x14ac:dyDescent="0.2">
      <c r="A18" s="22" t="s">
        <v>34</v>
      </c>
      <c r="C18" s="26"/>
      <c r="D18" s="26"/>
      <c r="E18" s="27">
        <f t="shared" ref="E18:M18" si="5">E17/E6</f>
        <v>7.5443356301081437E-3</v>
      </c>
      <c r="F18" s="27">
        <f t="shared" si="5"/>
        <v>3.2495891954944884E-3</v>
      </c>
      <c r="G18" s="27">
        <f t="shared" si="5"/>
        <v>6.3950047146491508E-3</v>
      </c>
      <c r="H18" s="27">
        <f t="shared" si="5"/>
        <v>8.3761338221329407E-3</v>
      </c>
      <c r="I18" s="27">
        <f t="shared" si="5"/>
        <v>0.02</v>
      </c>
      <c r="J18" s="27">
        <f t="shared" si="5"/>
        <v>0.02</v>
      </c>
      <c r="K18" s="27">
        <f t="shared" si="5"/>
        <v>0.02</v>
      </c>
      <c r="L18" s="27">
        <f t="shared" si="5"/>
        <v>0.02</v>
      </c>
      <c r="M18" s="27">
        <f t="shared" si="5"/>
        <v>0.02</v>
      </c>
    </row>
    <row r="19" spans="1:14" ht="15.75" customHeight="1" x14ac:dyDescent="0.2"/>
    <row r="20" spans="1:14" ht="15.75" customHeight="1" x14ac:dyDescent="0.2">
      <c r="A20" s="28" t="s">
        <v>41</v>
      </c>
      <c r="C20" s="29">
        <f t="shared" ref="C20:M20" si="6">C12-C15-C17</f>
        <v>235195</v>
      </c>
      <c r="D20" s="29">
        <f t="shared" si="6"/>
        <v>683064</v>
      </c>
      <c r="E20" s="29">
        <f t="shared" si="6"/>
        <v>850756</v>
      </c>
      <c r="F20" s="29">
        <f t="shared" si="6"/>
        <v>1046070</v>
      </c>
      <c r="G20" s="29">
        <f t="shared" si="6"/>
        <v>1045993</v>
      </c>
      <c r="H20" s="29">
        <f t="shared" si="6"/>
        <v>887630</v>
      </c>
      <c r="I20" s="32">
        <f t="shared" si="6"/>
        <v>860051.71395</v>
      </c>
      <c r="J20" s="29">
        <f t="shared" si="6"/>
        <v>896933.93163660029</v>
      </c>
      <c r="K20" s="32">
        <f t="shared" si="6"/>
        <v>952487.27199697495</v>
      </c>
      <c r="L20" s="29">
        <f t="shared" si="6"/>
        <v>1015827.6755847738</v>
      </c>
      <c r="M20" s="32">
        <f t="shared" si="6"/>
        <v>1095272.2577238616</v>
      </c>
    </row>
    <row r="21" spans="1:14" ht="15.75" customHeight="1" x14ac:dyDescent="0.2">
      <c r="A21" s="22" t="s">
        <v>42</v>
      </c>
      <c r="C21" s="27">
        <f t="shared" ref="C21:M21" si="7">C20/C6</f>
        <v>0.16969936166574431</v>
      </c>
      <c r="D21" s="27">
        <f t="shared" si="7"/>
        <v>0.2952620713265578</v>
      </c>
      <c r="E21" s="27">
        <f t="shared" si="7"/>
        <v>0.23931352734259076</v>
      </c>
      <c r="F21" s="27">
        <f t="shared" si="7"/>
        <v>0.264002622688018</v>
      </c>
      <c r="G21" s="27">
        <f t="shared" si="7"/>
        <v>0.25498914216788049</v>
      </c>
      <c r="H21" s="27">
        <f t="shared" si="7"/>
        <v>0.21967521538011114</v>
      </c>
      <c r="I21" s="27">
        <f t="shared" si="7"/>
        <v>0.21500000000000002</v>
      </c>
      <c r="J21" s="27">
        <f t="shared" si="7"/>
        <v>0.22200000000000006</v>
      </c>
      <c r="K21" s="27">
        <f t="shared" si="7"/>
        <v>0.23</v>
      </c>
      <c r="L21" s="27">
        <f t="shared" si="7"/>
        <v>0.23699999999999999</v>
      </c>
      <c r="M21" s="27">
        <f t="shared" si="7"/>
        <v>0.24500000000000002</v>
      </c>
    </row>
    <row r="22" spans="1:14" ht="15.75" customHeight="1" x14ac:dyDescent="0.2">
      <c r="C22" s="33"/>
      <c r="D22" s="33"/>
      <c r="E22" s="33"/>
      <c r="F22" s="33"/>
      <c r="G22" s="33"/>
      <c r="H22" s="33"/>
    </row>
    <row r="23" spans="1:14" ht="15.75" customHeight="1" x14ac:dyDescent="0.2">
      <c r="A23" s="22" t="s">
        <v>43</v>
      </c>
      <c r="C23" s="31">
        <v>-28216</v>
      </c>
      <c r="D23" s="31">
        <v>-19215</v>
      </c>
      <c r="E23" s="31">
        <v>-132248</v>
      </c>
      <c r="F23" s="31">
        <v>-169798</v>
      </c>
      <c r="G23" s="31">
        <v>-135408</v>
      </c>
      <c r="H23" s="31">
        <v>-814652</v>
      </c>
      <c r="I23" s="24">
        <f>-((('Balance Sheet'!H27+'Balance Sheet'!H32)+('Balance Sheet'!I27+'Balance Sheet'!I32))/2*WACC!$C$9)</f>
        <v>-84184.060381733361</v>
      </c>
      <c r="J23" s="24">
        <f>-((('Balance Sheet'!I27+'Balance Sheet'!I32)+('Balance Sheet'!J27+'Balance Sheet'!J32))/2*WACC!$C$9)</f>
        <v>-75978.181145200084</v>
      </c>
      <c r="K23" s="24">
        <f>-((('Balance Sheet'!J27+'Balance Sheet'!J32)+('Balance Sheet'!K27+'Balance Sheet'!K32))/2*WACC!$C$9)</f>
        <v>-67772.301908666792</v>
      </c>
      <c r="L23" s="24">
        <f>-((('Balance Sheet'!K27+'Balance Sheet'!K32)+('Balance Sheet'!L27+'Balance Sheet'!L32))/2*WACC!$C$9)</f>
        <v>-59566.422672133514</v>
      </c>
      <c r="M23" s="24">
        <f>-((('Balance Sheet'!L27+'Balance Sheet'!L32)+('Balance Sheet'!M27+'Balance Sheet'!M32))/2*WACC!$C$9)</f>
        <v>-51360.543435600237</v>
      </c>
      <c r="N23" s="25" t="s">
        <v>44</v>
      </c>
    </row>
    <row r="24" spans="1:14" ht="15.75" customHeight="1" x14ac:dyDescent="0.2">
      <c r="C24" s="34"/>
      <c r="D24" s="34"/>
      <c r="E24" s="34"/>
      <c r="F24" s="34"/>
      <c r="G24" s="34"/>
      <c r="H24" s="34"/>
    </row>
    <row r="25" spans="1:14" ht="15.75" customHeight="1" x14ac:dyDescent="0.2">
      <c r="A25" s="28" t="s">
        <v>45</v>
      </c>
      <c r="C25" s="29">
        <f t="shared" ref="C25:M25" si="8">C20+C23</f>
        <v>206979</v>
      </c>
      <c r="D25" s="29">
        <f t="shared" si="8"/>
        <v>663849</v>
      </c>
      <c r="E25" s="29">
        <f t="shared" si="8"/>
        <v>718508</v>
      </c>
      <c r="F25" s="29">
        <f t="shared" si="8"/>
        <v>876272</v>
      </c>
      <c r="G25" s="29">
        <f t="shared" si="8"/>
        <v>910585</v>
      </c>
      <c r="H25" s="29">
        <f t="shared" si="8"/>
        <v>72978</v>
      </c>
      <c r="I25" s="32">
        <f t="shared" si="8"/>
        <v>775867.65356826666</v>
      </c>
      <c r="J25" s="32">
        <f t="shared" si="8"/>
        <v>820955.75049140025</v>
      </c>
      <c r="K25" s="32">
        <f t="shared" si="8"/>
        <v>884714.97008830821</v>
      </c>
      <c r="L25" s="32">
        <f t="shared" si="8"/>
        <v>956261.25291264022</v>
      </c>
      <c r="M25" s="32">
        <f t="shared" si="8"/>
        <v>1043911.7142882614</v>
      </c>
    </row>
    <row r="26" spans="1:14" ht="15.75" customHeight="1" x14ac:dyDescent="0.2">
      <c r="A26" s="22" t="s">
        <v>46</v>
      </c>
      <c r="C26" s="35">
        <v>-105882</v>
      </c>
      <c r="D26" s="35">
        <v>-61845</v>
      </c>
      <c r="E26" s="35">
        <v>178349</v>
      </c>
      <c r="F26" s="35">
        <v>83706</v>
      </c>
      <c r="G26" s="35">
        <v>-39486</v>
      </c>
      <c r="H26" s="35">
        <v>154176</v>
      </c>
      <c r="I26" s="24">
        <f>I25*WACC!$C$10</f>
        <v>166811.54551717732</v>
      </c>
      <c r="J26" s="24">
        <f>J25*WACC!$C$10</f>
        <v>176505.48635565105</v>
      </c>
      <c r="K26" s="24">
        <f>K25*WACC!$C$10</f>
        <v>190213.71856898625</v>
      </c>
      <c r="L26" s="24">
        <f>L25*WACC!$C$10</f>
        <v>205596.16937621764</v>
      </c>
      <c r="M26" s="24">
        <f>M25*WACC!$C$10</f>
        <v>224441.01857197619</v>
      </c>
      <c r="N26" s="25" t="s">
        <v>47</v>
      </c>
    </row>
    <row r="27" spans="1:14" ht="15.75" customHeight="1" x14ac:dyDescent="0.2"/>
    <row r="28" spans="1:14" ht="15.75" customHeight="1" x14ac:dyDescent="0.2">
      <c r="A28" s="28" t="s">
        <v>48</v>
      </c>
      <c r="C28" s="29">
        <f t="shared" ref="C28:M28" si="9">C25-C26</f>
        <v>312861</v>
      </c>
      <c r="D28" s="29">
        <f t="shared" si="9"/>
        <v>725694</v>
      </c>
      <c r="E28" s="29">
        <f t="shared" si="9"/>
        <v>540159</v>
      </c>
      <c r="F28" s="29">
        <f t="shared" si="9"/>
        <v>792566</v>
      </c>
      <c r="G28" s="29">
        <f t="shared" si="9"/>
        <v>950071</v>
      </c>
      <c r="H28" s="29">
        <f t="shared" si="9"/>
        <v>-81198</v>
      </c>
      <c r="I28" s="32">
        <f t="shared" si="9"/>
        <v>609056.10805108934</v>
      </c>
      <c r="J28" s="32">
        <f t="shared" si="9"/>
        <v>644450.2641357492</v>
      </c>
      <c r="K28" s="32">
        <f t="shared" si="9"/>
        <v>694501.25151932193</v>
      </c>
      <c r="L28" s="32">
        <f t="shared" si="9"/>
        <v>750665.08353642258</v>
      </c>
      <c r="M28" s="32">
        <f t="shared" si="9"/>
        <v>819470.69571628515</v>
      </c>
    </row>
    <row r="29" spans="1:14" ht="15.75" customHeight="1" x14ac:dyDescent="0.2">
      <c r="A29" s="22" t="s">
        <v>49</v>
      </c>
      <c r="C29" s="27">
        <f t="shared" ref="C29:M29" si="10">C28/C6</f>
        <v>0.22573741784521964</v>
      </c>
      <c r="D29" s="27">
        <f t="shared" si="10"/>
        <v>0.3136893667200365</v>
      </c>
      <c r="E29" s="27">
        <f t="shared" si="10"/>
        <v>0.15194410102996214</v>
      </c>
      <c r="F29" s="27">
        <f t="shared" si="10"/>
        <v>0.20002437949023646</v>
      </c>
      <c r="G29" s="27">
        <f t="shared" si="10"/>
        <v>0.23160555499757685</v>
      </c>
      <c r="H29" s="27">
        <f t="shared" si="10"/>
        <v>-2.0095296619576025E-2</v>
      </c>
      <c r="I29" s="27">
        <f t="shared" si="10"/>
        <v>0.15225487154670905</v>
      </c>
      <c r="J29" s="27">
        <f t="shared" si="10"/>
        <v>0.15950780050999505</v>
      </c>
      <c r="K29" s="27">
        <f t="shared" si="10"/>
        <v>0.16770333058051756</v>
      </c>
      <c r="L29" s="27">
        <f t="shared" si="10"/>
        <v>0.175135634787384</v>
      </c>
      <c r="M29" s="27">
        <f t="shared" si="10"/>
        <v>0.18330631405539333</v>
      </c>
    </row>
    <row r="30" spans="1:14" ht="15.75" customHeight="1" x14ac:dyDescent="0.2"/>
    <row r="31" spans="1:14" ht="15.75" customHeight="1" x14ac:dyDescent="0.2">
      <c r="A31" s="28" t="s">
        <v>50</v>
      </c>
      <c r="C31" s="29">
        <f>C20+27619</f>
        <v>262814</v>
      </c>
      <c r="D31" s="29">
        <f>D20+31976</f>
        <v>715040</v>
      </c>
      <c r="E31" s="29">
        <f>E20+39229</f>
        <v>889985</v>
      </c>
      <c r="F31" s="29">
        <f>F20+54304</f>
        <v>1100374</v>
      </c>
      <c r="G31" s="29">
        <f>G20+69840</f>
        <v>1115833</v>
      </c>
      <c r="H31" s="29">
        <f>H20+79282</f>
        <v>966912</v>
      </c>
      <c r="I31" s="32">
        <f>I20+(I6*'Assumptions 1'!D21)</f>
        <v>940056.52454999997</v>
      </c>
      <c r="J31" s="32">
        <f>J20+(J6*'Assumptions 1'!E21)</f>
        <v>977738.79034260032</v>
      </c>
      <c r="K31" s="32">
        <f>K20+(K6*'Assumptions 1'!F21)</f>
        <v>1035312.2521706249</v>
      </c>
      <c r="L31" s="32">
        <f>L20+(L6*'Assumptions 1'!G21)</f>
        <v>1101551.5300645016</v>
      </c>
      <c r="M31" s="32">
        <f>M20+(M6*'Assumptions 1'!H21)</f>
        <v>1184682.2379462176</v>
      </c>
    </row>
    <row r="32" spans="1:14" ht="15.75" customHeight="1" x14ac:dyDescent="0.2">
      <c r="A32" s="22" t="s">
        <v>51</v>
      </c>
      <c r="C32" s="36">
        <f t="shared" ref="C32:M32" si="11">C31/C6</f>
        <v>0.18962719461221933</v>
      </c>
      <c r="D32" s="36">
        <f t="shared" si="11"/>
        <v>0.30908405578590276</v>
      </c>
      <c r="E32" s="36">
        <f t="shared" si="11"/>
        <v>0.25034845435353453</v>
      </c>
      <c r="F32" s="36">
        <f t="shared" si="11"/>
        <v>0.27770763136090809</v>
      </c>
      <c r="G32" s="36">
        <f t="shared" si="11"/>
        <v>0.27201453496592481</v>
      </c>
      <c r="H32" s="36">
        <f t="shared" si="11"/>
        <v>0.2392963305134054</v>
      </c>
      <c r="I32" s="37">
        <f t="shared" si="11"/>
        <v>0.23500000000000001</v>
      </c>
      <c r="J32" s="37">
        <f t="shared" si="11"/>
        <v>0.24200000000000008</v>
      </c>
      <c r="K32" s="37">
        <f t="shared" si="11"/>
        <v>0.25</v>
      </c>
      <c r="L32" s="37">
        <f t="shared" si="11"/>
        <v>0.25700000000000001</v>
      </c>
      <c r="M32" s="37">
        <f t="shared" si="11"/>
        <v>0.26500000000000001</v>
      </c>
    </row>
    <row r="33" spans="1:13" ht="15.75" customHeight="1" x14ac:dyDescent="0.2"/>
    <row r="34" spans="1:13" ht="15.75" customHeight="1" x14ac:dyDescent="0.2">
      <c r="A34" s="38" t="s">
        <v>52</v>
      </c>
      <c r="C34" s="39"/>
      <c r="D34" s="39"/>
      <c r="E34" s="39"/>
      <c r="F34" s="39"/>
      <c r="G34" s="39"/>
      <c r="H34" s="39"/>
      <c r="I34" s="40"/>
      <c r="J34" s="41"/>
      <c r="K34" s="40"/>
      <c r="L34" s="41"/>
      <c r="M34" s="40"/>
    </row>
    <row r="35" spans="1:13" ht="15.75" customHeight="1" x14ac:dyDescent="0.2">
      <c r="A35" s="22"/>
      <c r="C35" s="39"/>
      <c r="D35" s="39"/>
      <c r="E35" s="39"/>
      <c r="F35" s="39"/>
      <c r="G35" s="39"/>
      <c r="H35" s="42"/>
      <c r="I35" s="40"/>
      <c r="J35" s="40"/>
      <c r="K35" s="40"/>
      <c r="L35" s="40"/>
      <c r="M35" s="40"/>
    </row>
    <row r="36" spans="1:13" ht="15.75" customHeight="1" x14ac:dyDescent="0.2">
      <c r="A36" s="22"/>
      <c r="C36" s="43"/>
      <c r="D36" s="43"/>
      <c r="E36" s="43"/>
      <c r="F36" s="43"/>
      <c r="G36" s="43"/>
      <c r="H36" s="43"/>
      <c r="I36" s="44"/>
      <c r="J36" s="44"/>
      <c r="K36" s="44"/>
      <c r="L36" s="44"/>
      <c r="M36" s="44"/>
    </row>
    <row r="37" spans="1:13" ht="15.75" customHeight="1" x14ac:dyDescent="0.2">
      <c r="A37" s="22"/>
      <c r="C37" s="43"/>
      <c r="D37" s="43"/>
      <c r="E37" s="43"/>
      <c r="F37" s="43"/>
      <c r="G37" s="43"/>
      <c r="H37" s="43"/>
      <c r="I37" s="44"/>
      <c r="J37" s="44"/>
      <c r="K37" s="44"/>
      <c r="L37" s="44"/>
      <c r="M37" s="44"/>
    </row>
    <row r="38" spans="1:13" ht="15.75" customHeight="1" x14ac:dyDescent="0.2">
      <c r="A38" s="22"/>
      <c r="C38" s="45"/>
      <c r="D38" s="45"/>
      <c r="E38" s="45"/>
      <c r="F38" s="45"/>
      <c r="G38" s="45"/>
      <c r="H38" s="45"/>
      <c r="I38" s="44"/>
      <c r="J38" s="44"/>
      <c r="K38" s="44"/>
      <c r="L38" s="44"/>
      <c r="M38" s="44"/>
    </row>
    <row r="39" spans="1:13" ht="15" customHeight="1" x14ac:dyDescent="0.2"/>
    <row r="40" spans="1:13" ht="15" customHeight="1" x14ac:dyDescent="0.2">
      <c r="A40" s="38"/>
    </row>
  </sheetData>
  <mergeCells count="4">
    <mergeCell ref="A1:M1"/>
    <mergeCell ref="A2:M2"/>
    <mergeCell ref="C4:G4"/>
    <mergeCell ref="I4:M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2" sqref="C52"/>
    </sheetView>
  </sheetViews>
  <sheetFormatPr baseColWidth="10" defaultColWidth="8.6640625" defaultRowHeight="15" x14ac:dyDescent="0.2"/>
  <cols>
    <col min="1" max="1" width="38" customWidth="1"/>
    <col min="2" max="2" width="2" customWidth="1"/>
    <col min="3" max="13" width="12" customWidth="1"/>
  </cols>
  <sheetData>
    <row r="1" spans="1:15" ht="25.5" customHeight="1" x14ac:dyDescent="0.2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5" ht="15" customHeight="1" x14ac:dyDescent="0.2">
      <c r="A2" s="13" t="s">
        <v>53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5" ht="15.75" customHeight="1" x14ac:dyDescent="0.2">
      <c r="A4" s="19" t="s">
        <v>16</v>
      </c>
      <c r="C4" s="12" t="s">
        <v>17</v>
      </c>
      <c r="D4" s="12"/>
      <c r="E4" s="12"/>
      <c r="F4" s="12"/>
      <c r="G4" s="12"/>
      <c r="H4" s="20"/>
      <c r="I4" s="11" t="s">
        <v>18</v>
      </c>
      <c r="J4" s="11"/>
      <c r="K4" s="11"/>
      <c r="L4" s="11"/>
      <c r="M4" s="11"/>
    </row>
    <row r="5" spans="1:15" ht="18" customHeight="1" x14ac:dyDescent="0.2"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23</v>
      </c>
      <c r="H5" s="20">
        <v>2025</v>
      </c>
      <c r="I5" s="21" t="s">
        <v>24</v>
      </c>
      <c r="J5" s="21" t="s">
        <v>25</v>
      </c>
      <c r="K5" s="21" t="s">
        <v>26</v>
      </c>
      <c r="L5" s="21" t="s">
        <v>27</v>
      </c>
      <c r="M5" s="21" t="s">
        <v>28</v>
      </c>
    </row>
    <row r="6" spans="1:15" ht="15.75" customHeight="1" x14ac:dyDescent="0.2">
      <c r="A6" s="10" t="s">
        <v>54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5" ht="15.75" customHeight="1" x14ac:dyDescent="0.2">
      <c r="A7" s="9" t="s">
        <v>55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5" ht="15.75" customHeight="1" x14ac:dyDescent="0.2">
      <c r="A8" s="22" t="s">
        <v>56</v>
      </c>
      <c r="C8" s="30">
        <v>135802</v>
      </c>
      <c r="D8" s="47">
        <v>213197</v>
      </c>
      <c r="E8" s="30">
        <v>191629</v>
      </c>
      <c r="F8" s="30">
        <v>149288</v>
      </c>
      <c r="G8" s="30">
        <v>180485</v>
      </c>
      <c r="H8" s="31">
        <v>130354</v>
      </c>
      <c r="I8" s="24">
        <f>I46-I9-I10-I11-I15-I16-I17</f>
        <v>114672.77270067949</v>
      </c>
      <c r="J8" s="24">
        <f>J46-J9-J10-J11-J15-J16-J17</f>
        <v>87298.701177830808</v>
      </c>
      <c r="K8" s="24">
        <f>K46-K9-K10-K11-K15-K16-K17</f>
        <v>108755.16009219689</v>
      </c>
      <c r="L8" s="24">
        <f>L46-L9-L10-L11-L15-L16-L17</f>
        <v>185604.63355198316</v>
      </c>
      <c r="M8" s="24">
        <f>M46-M9-M10-M11-M15-M16-M17</f>
        <v>330724.02820975985</v>
      </c>
      <c r="O8" s="25" t="s">
        <v>57</v>
      </c>
    </row>
    <row r="9" spans="1:15" ht="15.75" customHeight="1" x14ac:dyDescent="0.2">
      <c r="A9" s="22" t="s">
        <v>58</v>
      </c>
      <c r="C9" s="47">
        <v>162520</v>
      </c>
      <c r="D9" s="47">
        <v>217182</v>
      </c>
      <c r="E9" s="47">
        <v>329188</v>
      </c>
      <c r="F9" s="47">
        <v>331231</v>
      </c>
      <c r="G9" s="47">
        <v>283907</v>
      </c>
      <c r="H9" s="31">
        <v>333055</v>
      </c>
      <c r="I9" s="24">
        <f>'Assumption 2'!D6*'Income Statement'!I6/365</f>
        <v>317827.32978082186</v>
      </c>
      <c r="J9" s="24">
        <f>'Assumption 2'!E6*'Income Statement'!J6/365</f>
        <v>321005.60307863011</v>
      </c>
      <c r="K9" s="24">
        <f>'Assumption 2'!F6*'Income Statement'!K6/365</f>
        <v>329030.74315559585</v>
      </c>
      <c r="L9" s="24">
        <f>'Assumption 2'!G6*'Income Statement'!L6/365</f>
        <v>340546.81916604174</v>
      </c>
      <c r="M9" s="24">
        <f>'Assumption 2'!H6*'Income Statement'!M6/365</f>
        <v>355190.33239018155</v>
      </c>
      <c r="O9" s="25" t="s">
        <v>59</v>
      </c>
    </row>
    <row r="10" spans="1:15" ht="15.75" customHeight="1" x14ac:dyDescent="0.2">
      <c r="A10" s="22" t="s">
        <v>60</v>
      </c>
      <c r="C10" s="23">
        <v>175121</v>
      </c>
      <c r="D10" s="30">
        <v>213520</v>
      </c>
      <c r="E10" s="30">
        <v>471551</v>
      </c>
      <c r="F10" s="30">
        <v>385054</v>
      </c>
      <c r="G10" s="30">
        <v>356254</v>
      </c>
      <c r="H10" s="31">
        <v>368687</v>
      </c>
      <c r="I10" s="24">
        <f>'Assumption 2'!D11*'Income Statement'!I9/365</f>
        <v>359309.27609876706</v>
      </c>
      <c r="J10" s="24">
        <f>'Assumption 2'!E11*'Income Statement'!J9/365</f>
        <v>361153.44178091257</v>
      </c>
      <c r="K10" s="24">
        <f>'Assumption 2'!F11*'Income Statement'!K9/365</f>
        <v>367493.3024417155</v>
      </c>
      <c r="L10" s="24">
        <f>'Assumption 2'!G11*'Income Statement'!L9/365</f>
        <v>378500.17501240881</v>
      </c>
      <c r="M10" s="24">
        <f>'Assumption 2'!H11*'Income Statement'!M9/365</f>
        <v>391872.92016633996</v>
      </c>
      <c r="O10" s="25" t="s">
        <v>61</v>
      </c>
    </row>
    <row r="11" spans="1:15" ht="15.75" customHeight="1" x14ac:dyDescent="0.2">
      <c r="A11" s="22" t="s">
        <v>62</v>
      </c>
      <c r="C11" s="30">
        <v>19398</v>
      </c>
      <c r="D11" s="30">
        <v>22670</v>
      </c>
      <c r="E11" s="30">
        <v>33607</v>
      </c>
      <c r="F11" s="30">
        <v>45131</v>
      </c>
      <c r="G11" s="30">
        <v>51623</v>
      </c>
      <c r="H11" s="31">
        <v>53787</v>
      </c>
      <c r="I11" s="24">
        <f>'Assumption 2'!D21*'Income Statement'!I6</f>
        <v>48002.886359999997</v>
      </c>
      <c r="J11" s="24">
        <f>'Assumption 2'!E21*'Income Statement'!J6</f>
        <v>48482.915223600001</v>
      </c>
      <c r="K11" s="24">
        <f>'Assumption 2'!F21*'Income Statement'!K6</f>
        <v>49694.988104189993</v>
      </c>
      <c r="L11" s="24">
        <f>'Assumption 2'!G21*'Income Statement'!L6</f>
        <v>51434.312687836646</v>
      </c>
      <c r="M11" s="24">
        <f>'Assumption 2'!H21*'Income Statement'!M6</f>
        <v>53645.988133413623</v>
      </c>
    </row>
    <row r="12" spans="1:15" ht="15.75" customHeight="1" x14ac:dyDescent="0.2">
      <c r="A12" s="28" t="s">
        <v>63</v>
      </c>
      <c r="C12" s="29">
        <f t="shared" ref="C12:H12" si="0">SUM(C8:C11)</f>
        <v>492841</v>
      </c>
      <c r="D12" s="29">
        <f t="shared" si="0"/>
        <v>666569</v>
      </c>
      <c r="E12" s="29">
        <f t="shared" si="0"/>
        <v>1025975</v>
      </c>
      <c r="F12" s="29">
        <f t="shared" si="0"/>
        <v>910704</v>
      </c>
      <c r="G12" s="29">
        <f t="shared" si="0"/>
        <v>872269</v>
      </c>
      <c r="H12" s="29">
        <f t="shared" si="0"/>
        <v>885883</v>
      </c>
      <c r="I12" s="48">
        <f>I8+I9+I10+I11</f>
        <v>839812.26494026848</v>
      </c>
      <c r="J12" s="48">
        <f>J8+J9+J10+J11</f>
        <v>817940.66126097355</v>
      </c>
      <c r="K12" s="48">
        <f>K8+K9+K10+K11</f>
        <v>854974.19379369821</v>
      </c>
      <c r="L12" s="48">
        <f>L8+L9+L10+L11</f>
        <v>956085.94041827018</v>
      </c>
      <c r="M12" s="48">
        <f>M8+M9+M10+M11</f>
        <v>1131433.268899695</v>
      </c>
    </row>
    <row r="13" spans="1:15" ht="15.75" customHeight="1" x14ac:dyDescent="0.2"/>
    <row r="14" spans="1:15" ht="15.75" customHeight="1" x14ac:dyDescent="0.2">
      <c r="A14" s="9" t="s">
        <v>64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5" ht="15.75" customHeight="1" x14ac:dyDescent="0.2">
      <c r="A15" s="22" t="s">
        <v>65</v>
      </c>
      <c r="C15" s="23">
        <v>224888</v>
      </c>
      <c r="D15" s="23">
        <v>269166</v>
      </c>
      <c r="E15" s="23">
        <v>421434</v>
      </c>
      <c r="F15" s="23">
        <v>525755</v>
      </c>
      <c r="G15" s="23">
        <v>551563</v>
      </c>
      <c r="H15" s="31">
        <v>576860</v>
      </c>
      <c r="I15" s="24">
        <f>H15+('Assumptions 1'!D36*'Income Statement'!I6)-('Assumptions 1'!D21*'Income Statement'!I6)</f>
        <v>568859.51893999998</v>
      </c>
      <c r="J15" s="24">
        <f>I15+('Assumptions 1'!E36*'Income Statement'!J6)-('Assumptions 1'!E21*'Income Statement'!J6)</f>
        <v>560779.03306939988</v>
      </c>
      <c r="K15" s="24">
        <f>J15+('Assumptions 1'!F36*'Income Statement'!K6)-('Assumptions 1'!F21*'Income Statement'!K6)</f>
        <v>552496.53505203489</v>
      </c>
      <c r="L15" s="24">
        <f>K15+('Assumptions 1'!G36*'Income Statement'!L6)-('Assumptions 1'!G21*'Income Statement'!L6)</f>
        <v>543924.14960406208</v>
      </c>
      <c r="M15" s="24">
        <f>L15+('Assumptions 1'!H36*'Income Statement'!M6)-('Assumptions 1'!H21*'Income Statement'!M6)</f>
        <v>534983.1515818265</v>
      </c>
    </row>
    <row r="16" spans="1:15" ht="15.75" customHeight="1" x14ac:dyDescent="0.2">
      <c r="A16" s="22" t="s">
        <v>66</v>
      </c>
      <c r="C16" s="23">
        <v>39355</v>
      </c>
      <c r="D16" s="23">
        <v>30402</v>
      </c>
      <c r="E16" s="23">
        <v>2514981</v>
      </c>
      <c r="F16" s="23">
        <v>2504150</v>
      </c>
      <c r="G16" s="23">
        <v>2488571</v>
      </c>
      <c r="H16" s="31">
        <v>1729369</v>
      </c>
      <c r="I16" s="24">
        <f>H16-21000</f>
        <v>1708369</v>
      </c>
      <c r="J16" s="24">
        <f>I16-21000</f>
        <v>1687369</v>
      </c>
      <c r="K16" s="24">
        <f>J16-21000</f>
        <v>1666369</v>
      </c>
      <c r="L16" s="24">
        <f>K16-21000</f>
        <v>1645369</v>
      </c>
      <c r="M16" s="24">
        <f>L16-21000</f>
        <v>1624369</v>
      </c>
    </row>
    <row r="17" spans="1:15" ht="15.75" customHeight="1" x14ac:dyDescent="0.2">
      <c r="A17" s="22" t="s">
        <v>67</v>
      </c>
      <c r="C17" s="42">
        <v>361639</v>
      </c>
      <c r="D17" s="42">
        <v>578931</v>
      </c>
      <c r="E17" s="42">
        <v>539407</v>
      </c>
      <c r="F17" s="42">
        <v>703225</v>
      </c>
      <c r="G17" s="42">
        <v>899750</v>
      </c>
      <c r="H17" s="31">
        <v>982638</v>
      </c>
      <c r="I17" s="24">
        <f>H17</f>
        <v>982638</v>
      </c>
      <c r="J17" s="24">
        <f>I17</f>
        <v>982638</v>
      </c>
      <c r="K17" s="24">
        <f>J17</f>
        <v>982638</v>
      </c>
      <c r="L17" s="24">
        <f>K17</f>
        <v>982638</v>
      </c>
      <c r="M17" s="24">
        <f>L17</f>
        <v>982638</v>
      </c>
    </row>
    <row r="18" spans="1:15" ht="15.75" customHeight="1" x14ac:dyDescent="0.2">
      <c r="A18" s="28" t="s">
        <v>68</v>
      </c>
      <c r="C18" s="29">
        <f t="shared" ref="C18:H18" si="1">SUM(C15:C17)</f>
        <v>625882</v>
      </c>
      <c r="D18" s="29">
        <f t="shared" si="1"/>
        <v>878499</v>
      </c>
      <c r="E18" s="29">
        <f t="shared" si="1"/>
        <v>3475822</v>
      </c>
      <c r="F18" s="29">
        <f t="shared" si="1"/>
        <v>3733130</v>
      </c>
      <c r="G18" s="29">
        <f t="shared" si="1"/>
        <v>3939884</v>
      </c>
      <c r="H18" s="29">
        <f t="shared" si="1"/>
        <v>3288867</v>
      </c>
      <c r="I18" s="48">
        <f>I15+I16+I17</f>
        <v>3259866.5189399999</v>
      </c>
      <c r="J18" s="48">
        <f>J15+J16+J17</f>
        <v>3230786.0330694001</v>
      </c>
      <c r="K18" s="48">
        <f>K15+K16+K17</f>
        <v>3201503.535052035</v>
      </c>
      <c r="L18" s="48">
        <f>L15+L16+L17</f>
        <v>3171931.1496040621</v>
      </c>
      <c r="M18" s="48">
        <f>M15+M16+M17</f>
        <v>3141990.1515818266</v>
      </c>
    </row>
    <row r="19" spans="1:15" ht="15.75" customHeight="1" x14ac:dyDescent="0.2"/>
    <row r="20" spans="1:15" ht="15.75" customHeight="1" x14ac:dyDescent="0.2">
      <c r="A20" s="28" t="s">
        <v>69</v>
      </c>
      <c r="C20" s="29">
        <f t="shared" ref="C20:H20" si="2">C18+C12</f>
        <v>1118723</v>
      </c>
      <c r="D20" s="29">
        <f t="shared" si="2"/>
        <v>1545068</v>
      </c>
      <c r="E20" s="29">
        <f t="shared" si="2"/>
        <v>4501797</v>
      </c>
      <c r="F20" s="29">
        <f t="shared" si="2"/>
        <v>4643834</v>
      </c>
      <c r="G20" s="29">
        <f t="shared" si="2"/>
        <v>4812153</v>
      </c>
      <c r="H20" s="29">
        <f t="shared" si="2"/>
        <v>4174750</v>
      </c>
      <c r="I20" s="48">
        <f>I12+I18</f>
        <v>4099678.7838802682</v>
      </c>
      <c r="J20" s="48">
        <f>J12+J18</f>
        <v>4048726.6943303738</v>
      </c>
      <c r="K20" s="48">
        <f>K12+K18</f>
        <v>4056477.7288457332</v>
      </c>
      <c r="L20" s="48">
        <f>L12+L18</f>
        <v>4128017.090022332</v>
      </c>
      <c r="M20" s="48">
        <f>M12+M18</f>
        <v>4273423.4204815216</v>
      </c>
    </row>
    <row r="21" spans="1:15" ht="15.75" customHeight="1" x14ac:dyDescent="0.2"/>
    <row r="22" spans="1:15" ht="15.75" customHeight="1" x14ac:dyDescent="0.2">
      <c r="A22" s="10" t="s">
        <v>70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5" ht="15.75" customHeight="1" x14ac:dyDescent="0.2">
      <c r="A23" s="9" t="s">
        <v>71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5" ht="15.75" customHeight="1" x14ac:dyDescent="0.2">
      <c r="A24" s="22" t="s">
        <v>72</v>
      </c>
      <c r="C24" s="31">
        <v>136550</v>
      </c>
      <c r="D24" s="31">
        <v>198898</v>
      </c>
      <c r="E24" s="31">
        <v>357809</v>
      </c>
      <c r="F24" s="31">
        <v>350698</v>
      </c>
      <c r="G24" s="31">
        <v>390919</v>
      </c>
      <c r="H24" s="31">
        <v>336466</v>
      </c>
      <c r="I24" s="24">
        <f>'Assumption 2'!D16*'Income Statement'!I9/365</f>
        <v>350212.83872917807</v>
      </c>
      <c r="J24" s="24">
        <f>'Assumption 2'!E16*'Income Statement'!J9/365</f>
        <v>352010.31667253503</v>
      </c>
      <c r="K24" s="24">
        <f>'Assumption 2'!F16*'Income Statement'!K9/365</f>
        <v>358189.67453179864</v>
      </c>
      <c r="L24" s="24">
        <f>'Assumption 2'!G16*'Income Statement'!L9/365</f>
        <v>368917.89210070227</v>
      </c>
      <c r="M24" s="24">
        <f>'Assumption 2'!H16*'Income Statement'!M9/365</f>
        <v>381952.08674440725</v>
      </c>
      <c r="O24" s="25" t="s">
        <v>73</v>
      </c>
    </row>
    <row r="25" spans="1:15" ht="15.75" customHeight="1" x14ac:dyDescent="0.2">
      <c r="A25" s="22" t="s">
        <v>74</v>
      </c>
      <c r="C25" s="31">
        <v>40164</v>
      </c>
      <c r="D25" s="31">
        <v>57057</v>
      </c>
      <c r="E25" s="31">
        <v>98571</v>
      </c>
      <c r="F25" s="31">
        <v>103255</v>
      </c>
      <c r="G25" s="31">
        <v>103435</v>
      </c>
      <c r="H25" s="31">
        <v>93051</v>
      </c>
      <c r="I25" s="24">
        <f>'Assumption 2'!D26*'Income Statement'!I6</f>
        <v>100006.01325</v>
      </c>
      <c r="J25" s="24">
        <f>'Assumption 2'!E26*'Income Statement'!J6</f>
        <v>101006.07338250001</v>
      </c>
      <c r="K25" s="24">
        <f>'Assumption 2'!F26*'Income Statement'!K6</f>
        <v>103531.2252170625</v>
      </c>
      <c r="L25" s="24">
        <f>'Assumption 2'!G26*'Income Statement'!L6</f>
        <v>107154.81809965969</v>
      </c>
      <c r="M25" s="24">
        <f>'Assumption 2'!H26*'Income Statement'!M6</f>
        <v>111762.47527794505</v>
      </c>
    </row>
    <row r="26" spans="1:15" ht="15.75" customHeight="1" x14ac:dyDescent="0.2">
      <c r="A26" t="s">
        <v>75</v>
      </c>
      <c r="C26" s="31">
        <v>48870</v>
      </c>
      <c r="D26" s="31">
        <v>62945</v>
      </c>
      <c r="E26" s="31">
        <v>55474</v>
      </c>
      <c r="F26" s="31">
        <v>70245</v>
      </c>
      <c r="G26" s="31">
        <v>81265</v>
      </c>
      <c r="H26" s="31">
        <v>88242</v>
      </c>
      <c r="I26" s="24">
        <f>2.2%*'Income Statement'!I6</f>
        <v>88005.291660000003</v>
      </c>
      <c r="J26" s="24">
        <f>2.2%*'Income Statement'!J6</f>
        <v>88885.344576600008</v>
      </c>
      <c r="K26" s="24">
        <f>2.2%*'Income Statement'!K6</f>
        <v>91107.478191015005</v>
      </c>
      <c r="L26" s="24">
        <f>2.2%*'Income Statement'!L6</f>
        <v>94296.239927700532</v>
      </c>
      <c r="M26" s="24">
        <f>2.2%*'Income Statement'!M6</f>
        <v>98350.97824459165</v>
      </c>
    </row>
    <row r="27" spans="1:15" ht="15.75" customHeight="1" x14ac:dyDescent="0.2">
      <c r="A27" s="22" t="s">
        <v>76</v>
      </c>
      <c r="C27" s="31">
        <v>47064</v>
      </c>
      <c r="D27" s="31">
        <v>42932</v>
      </c>
      <c r="E27" s="31">
        <v>81818</v>
      </c>
      <c r="F27" s="31">
        <v>85595</v>
      </c>
      <c r="G27" s="31">
        <v>68551</v>
      </c>
      <c r="H27" s="31">
        <v>85772</v>
      </c>
      <c r="I27" s="24">
        <f>H27</f>
        <v>85772</v>
      </c>
      <c r="J27" s="24">
        <f>I27</f>
        <v>85772</v>
      </c>
      <c r="K27" s="24">
        <f>J27</f>
        <v>85772</v>
      </c>
      <c r="L27" s="24">
        <f>K27</f>
        <v>85772</v>
      </c>
      <c r="M27" s="24">
        <f>L27</f>
        <v>85772</v>
      </c>
      <c r="O27" s="25" t="s">
        <v>77</v>
      </c>
    </row>
    <row r="28" spans="1:15" ht="15.75" customHeight="1" x14ac:dyDescent="0.2">
      <c r="A28" s="22" t="s">
        <v>78</v>
      </c>
      <c r="C28" s="31">
        <v>18936</v>
      </c>
      <c r="D28" s="31">
        <v>26411</v>
      </c>
      <c r="E28" s="31">
        <v>47602</v>
      </c>
      <c r="F28" s="31">
        <v>88503</v>
      </c>
      <c r="G28" s="31">
        <v>96038</v>
      </c>
      <c r="H28" s="31">
        <v>96598</v>
      </c>
      <c r="I28" s="24">
        <f>'Assumption 2'!D31*'Income Statement'!I6</f>
        <v>92005.532189999998</v>
      </c>
      <c r="J28" s="24">
        <f>'Assumption 2'!E31*'Income Statement'!J6</f>
        <v>92925.587511899997</v>
      </c>
      <c r="K28" s="24">
        <f>'Assumption 2'!F31*'Income Statement'!K6</f>
        <v>95248.727199697489</v>
      </c>
      <c r="L28" s="24">
        <f>'Assumption 2'!G31*'Income Statement'!L6</f>
        <v>98582.432651686904</v>
      </c>
      <c r="M28" s="24">
        <f>'Assumption 2'!H31*'Income Statement'!M6</f>
        <v>102821.47725570944</v>
      </c>
    </row>
    <row r="29" spans="1:15" ht="15.75" customHeight="1" x14ac:dyDescent="0.2">
      <c r="A29" s="28" t="s">
        <v>79</v>
      </c>
      <c r="C29" s="29">
        <f t="shared" ref="C29:H29" si="3">SUM(C24:C28)</f>
        <v>291584</v>
      </c>
      <c r="D29" s="29">
        <f t="shared" si="3"/>
        <v>388243</v>
      </c>
      <c r="E29" s="29">
        <f t="shared" si="3"/>
        <v>641274</v>
      </c>
      <c r="F29" s="29">
        <f t="shared" si="3"/>
        <v>698296</v>
      </c>
      <c r="G29" s="29">
        <f t="shared" si="3"/>
        <v>740208</v>
      </c>
      <c r="H29" s="29">
        <f t="shared" si="3"/>
        <v>700129</v>
      </c>
      <c r="I29" s="48">
        <f>I24+I25+I26+I27+I28</f>
        <v>716001.67582917819</v>
      </c>
      <c r="J29" s="48">
        <f>J24+J25+J26+J27+J28</f>
        <v>720599.32214353501</v>
      </c>
      <c r="K29" s="48">
        <f>K24+K25+K26+K27+K28</f>
        <v>733849.10513957369</v>
      </c>
      <c r="L29" s="48">
        <f>L24+L25+L26+L27+L28</f>
        <v>754723.38277974946</v>
      </c>
      <c r="M29" s="48">
        <f>M24+M25+M26+M27+M28</f>
        <v>780659.01752265345</v>
      </c>
    </row>
    <row r="30" spans="1:15" ht="15.75" customHeight="1" x14ac:dyDescent="0.2"/>
    <row r="31" spans="1:15" ht="15.75" customHeight="1" x14ac:dyDescent="0.2">
      <c r="A31" s="9" t="s">
        <v>80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5" ht="15.75" customHeight="1" x14ac:dyDescent="0.2">
      <c r="A32" s="22" t="s">
        <v>81</v>
      </c>
      <c r="C32" s="31">
        <v>326401</v>
      </c>
      <c r="D32" s="31">
        <v>920627</v>
      </c>
      <c r="E32" s="31">
        <v>2513146</v>
      </c>
      <c r="F32" s="31">
        <v>1910765</v>
      </c>
      <c r="G32" s="31">
        <v>1632745</v>
      </c>
      <c r="H32" s="31">
        <v>1528077</v>
      </c>
      <c r="I32" s="24">
        <f>H32-150000</f>
        <v>1378077</v>
      </c>
      <c r="J32" s="24">
        <f>I32-150000</f>
        <v>1228077</v>
      </c>
      <c r="K32" s="24">
        <f>J32-150000</f>
        <v>1078077</v>
      </c>
      <c r="L32" s="24">
        <f>K32-150000</f>
        <v>928077</v>
      </c>
      <c r="M32" s="24">
        <f>L32-150000</f>
        <v>778077</v>
      </c>
      <c r="N32" s="25" t="s">
        <v>82</v>
      </c>
      <c r="O32" s="25" t="s">
        <v>83</v>
      </c>
    </row>
    <row r="33" spans="1:15" ht="15.75" customHeight="1" x14ac:dyDescent="0.2">
      <c r="A33" s="22" t="s">
        <v>84</v>
      </c>
      <c r="C33" s="33">
        <v>0</v>
      </c>
      <c r="D33">
        <v>176</v>
      </c>
      <c r="E33" s="31">
        <v>302030</v>
      </c>
      <c r="F33" s="31">
        <v>12912</v>
      </c>
      <c r="G33" s="31">
        <v>4086</v>
      </c>
      <c r="H33">
        <v>882</v>
      </c>
      <c r="I33" s="24">
        <f t="shared" ref="I33:M34" si="4">H33</f>
        <v>882</v>
      </c>
      <c r="J33" s="24">
        <f t="shared" si="4"/>
        <v>882</v>
      </c>
      <c r="K33" s="24">
        <f t="shared" si="4"/>
        <v>882</v>
      </c>
      <c r="L33" s="24">
        <f t="shared" si="4"/>
        <v>882</v>
      </c>
      <c r="M33" s="24">
        <f t="shared" si="4"/>
        <v>882</v>
      </c>
    </row>
    <row r="34" spans="1:15" ht="15.75" customHeight="1" x14ac:dyDescent="0.2">
      <c r="A34" s="22" t="s">
        <v>85</v>
      </c>
      <c r="C34" s="31">
        <v>210105</v>
      </c>
      <c r="D34" s="31">
        <v>221940</v>
      </c>
      <c r="E34" s="31">
        <v>227416</v>
      </c>
      <c r="F34" s="31">
        <v>567938</v>
      </c>
      <c r="G34" s="31">
        <v>599382</v>
      </c>
      <c r="H34" s="31">
        <v>652379</v>
      </c>
      <c r="I34" s="24">
        <f t="shared" si="4"/>
        <v>652379</v>
      </c>
      <c r="J34" s="24">
        <f t="shared" si="4"/>
        <v>652379</v>
      </c>
      <c r="K34" s="24">
        <f t="shared" si="4"/>
        <v>652379</v>
      </c>
      <c r="L34" s="24">
        <f t="shared" si="4"/>
        <v>652379</v>
      </c>
      <c r="M34" s="24">
        <f t="shared" si="4"/>
        <v>652379</v>
      </c>
    </row>
    <row r="35" spans="1:15" ht="15.75" customHeight="1" x14ac:dyDescent="0.2">
      <c r="A35" s="28" t="s">
        <v>86</v>
      </c>
      <c r="C35" s="29">
        <f t="shared" ref="C35:H35" si="5">SUM(C32:C34)</f>
        <v>536506</v>
      </c>
      <c r="D35" s="29">
        <f t="shared" si="5"/>
        <v>1142743</v>
      </c>
      <c r="E35" s="29">
        <f t="shared" si="5"/>
        <v>3042592</v>
      </c>
      <c r="F35" s="29">
        <f t="shared" si="5"/>
        <v>2491615</v>
      </c>
      <c r="G35" s="29">
        <f t="shared" si="5"/>
        <v>2236213</v>
      </c>
      <c r="H35" s="29">
        <f t="shared" si="5"/>
        <v>2181338</v>
      </c>
      <c r="I35" s="48">
        <f>I32+I33+I34</f>
        <v>2031338</v>
      </c>
      <c r="J35" s="48">
        <f>J32+J33+J34</f>
        <v>1881338</v>
      </c>
      <c r="K35" s="48">
        <f>K32+K33+K34</f>
        <v>1731338</v>
      </c>
      <c r="L35" s="48">
        <f>L32+L33+L34</f>
        <v>1581338</v>
      </c>
      <c r="M35" s="48">
        <f>M32+M33+M34</f>
        <v>1431338</v>
      </c>
    </row>
    <row r="36" spans="1:15" ht="15.75" customHeight="1" x14ac:dyDescent="0.2"/>
    <row r="37" spans="1:15" ht="15.75" customHeight="1" x14ac:dyDescent="0.2">
      <c r="A37" s="28" t="s">
        <v>87</v>
      </c>
      <c r="C37" s="29">
        <f>C35+C29</f>
        <v>828090</v>
      </c>
      <c r="D37" s="29">
        <f>D35+D29</f>
        <v>1530986</v>
      </c>
      <c r="E37" s="29">
        <f>E35+E29</f>
        <v>3683866</v>
      </c>
      <c r="F37" s="29">
        <f>F35+F29</f>
        <v>3189911</v>
      </c>
      <c r="G37" s="29">
        <f>G35+G29</f>
        <v>2976421</v>
      </c>
      <c r="H37" s="29">
        <f t="shared" ref="H37:M37" si="6">H29+H35</f>
        <v>2881467</v>
      </c>
      <c r="I37" s="48">
        <f t="shared" si="6"/>
        <v>2747339.6758291782</v>
      </c>
      <c r="J37" s="48">
        <f t="shared" si="6"/>
        <v>2601937.3221435351</v>
      </c>
      <c r="K37" s="48">
        <f t="shared" si="6"/>
        <v>2465187.1051395736</v>
      </c>
      <c r="L37" s="48">
        <f t="shared" si="6"/>
        <v>2336061.3827797496</v>
      </c>
      <c r="M37" s="48">
        <f t="shared" si="6"/>
        <v>2211997.0175226536</v>
      </c>
    </row>
    <row r="38" spans="1:15" ht="15.75" customHeight="1" x14ac:dyDescent="0.2"/>
    <row r="39" spans="1:15" ht="15.75" customHeight="1" x14ac:dyDescent="0.2">
      <c r="A39" s="9" t="s">
        <v>88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5" ht="15.75" customHeight="1" x14ac:dyDescent="0.2">
      <c r="A40" s="22" t="s">
        <v>89</v>
      </c>
      <c r="C40" s="31">
        <v>482490</v>
      </c>
      <c r="D40" s="31">
        <v>496142</v>
      </c>
      <c r="E40" s="31">
        <v>797724</v>
      </c>
      <c r="F40" s="31">
        <v>826795</v>
      </c>
      <c r="G40" s="31">
        <v>860014</v>
      </c>
      <c r="H40" s="31">
        <v>896716</v>
      </c>
      <c r="I40" s="49">
        <f>H40</f>
        <v>896716</v>
      </c>
      <c r="J40" s="24">
        <f>I40</f>
        <v>896716</v>
      </c>
      <c r="K40" s="49">
        <f>J40</f>
        <v>896716</v>
      </c>
      <c r="L40" s="24">
        <f>K40</f>
        <v>896716</v>
      </c>
      <c r="M40" s="49">
        <f>L40</f>
        <v>896716</v>
      </c>
    </row>
    <row r="41" spans="1:15" ht="15.75" customHeight="1" x14ac:dyDescent="0.2">
      <c r="A41" s="22" t="s">
        <v>90</v>
      </c>
      <c r="C41" s="31">
        <v>553346</v>
      </c>
      <c r="D41" s="31">
        <v>1279040</v>
      </c>
      <c r="E41" s="31">
        <v>1819199</v>
      </c>
      <c r="F41" s="31">
        <v>2611765</v>
      </c>
      <c r="G41" s="31">
        <v>3561836</v>
      </c>
      <c r="H41" s="31">
        <v>3480638</v>
      </c>
      <c r="I41" s="24">
        <f>H41+'Income Statement'!I28</f>
        <v>4089694.1080510896</v>
      </c>
      <c r="J41" s="24">
        <f>I41+'Income Statement'!J28</f>
        <v>4734144.3721868386</v>
      </c>
      <c r="K41" s="24">
        <f>J41+'Income Statement'!K28</f>
        <v>5428645.6237061601</v>
      </c>
      <c r="L41" s="24">
        <f>K41+'Income Statement'!L28</f>
        <v>6179310.7072425829</v>
      </c>
      <c r="M41" s="24">
        <f>L41+'Income Statement'!M28</f>
        <v>6998781.4029588681</v>
      </c>
    </row>
    <row r="42" spans="1:15" ht="15.75" customHeight="1" x14ac:dyDescent="0.2">
      <c r="A42" s="22" t="s">
        <v>91</v>
      </c>
      <c r="C42" s="31">
        <v>-688849</v>
      </c>
      <c r="D42" s="31">
        <v>-1684262</v>
      </c>
      <c r="E42" s="31">
        <v>-1695501</v>
      </c>
      <c r="F42" s="31">
        <v>-1888869</v>
      </c>
      <c r="G42" s="31">
        <v>-2453473</v>
      </c>
      <c r="H42" s="31">
        <v>-3040416</v>
      </c>
      <c r="I42" s="24">
        <f>'Balance Sheet'!H42-550000</f>
        <v>-3590416</v>
      </c>
      <c r="J42" s="24">
        <f>'Balance Sheet'!I42-550000</f>
        <v>-4140416</v>
      </c>
      <c r="K42" s="24">
        <f>'Balance Sheet'!J42-550000</f>
        <v>-4690416</v>
      </c>
      <c r="L42" s="24">
        <f>'Balance Sheet'!K42-550000</f>
        <v>-5240416</v>
      </c>
      <c r="M42" s="24">
        <f>'Balance Sheet'!L42-550000</f>
        <v>-5790416</v>
      </c>
      <c r="N42" s="25" t="s">
        <v>92</v>
      </c>
      <c r="O42" s="25" t="s">
        <v>93</v>
      </c>
    </row>
    <row r="43" spans="1:15" ht="15.75" customHeight="1" x14ac:dyDescent="0.2">
      <c r="A43" s="22" t="s">
        <v>94</v>
      </c>
      <c r="C43" s="31">
        <v>-56354</v>
      </c>
      <c r="D43" s="31">
        <v>-76838</v>
      </c>
      <c r="E43" s="31">
        <v>-103491</v>
      </c>
      <c r="F43" s="31">
        <v>-95768</v>
      </c>
      <c r="G43" s="31">
        <v>-132645</v>
      </c>
      <c r="H43" s="31">
        <v>-43655</v>
      </c>
      <c r="I43" s="24">
        <f>H43</f>
        <v>-43655</v>
      </c>
      <c r="J43" s="24">
        <f>I43</f>
        <v>-43655</v>
      </c>
      <c r="K43" s="24">
        <f>J43</f>
        <v>-43655</v>
      </c>
      <c r="L43" s="24">
        <f>K43</f>
        <v>-43655</v>
      </c>
      <c r="M43" s="24">
        <f>L43</f>
        <v>-43655</v>
      </c>
    </row>
    <row r="44" spans="1:15" ht="15.75" customHeight="1" x14ac:dyDescent="0.2">
      <c r="A44" s="28" t="s">
        <v>95</v>
      </c>
      <c r="C44" s="29">
        <f t="shared" ref="C44:H44" si="7">SUM(C40:C43)</f>
        <v>290633</v>
      </c>
      <c r="D44" s="29">
        <f t="shared" si="7"/>
        <v>14082</v>
      </c>
      <c r="E44" s="29">
        <f t="shared" si="7"/>
        <v>817931</v>
      </c>
      <c r="F44" s="29">
        <f t="shared" si="7"/>
        <v>1453923</v>
      </c>
      <c r="G44" s="29">
        <f t="shared" si="7"/>
        <v>1835732</v>
      </c>
      <c r="H44" s="29">
        <f t="shared" si="7"/>
        <v>1293283</v>
      </c>
      <c r="I44" s="48">
        <f>I40+I41+I42+I43</f>
        <v>1352339.1080510896</v>
      </c>
      <c r="J44" s="48">
        <f>J40+J41+J42+J43</f>
        <v>1446789.3721868386</v>
      </c>
      <c r="K44" s="48">
        <f>K40+K41+K42+K43</f>
        <v>1591290.6237061601</v>
      </c>
      <c r="L44" s="48">
        <f>L40+L41+L42+L43</f>
        <v>1791955.7072425829</v>
      </c>
      <c r="M44" s="48">
        <f>M40+M41+M42+M43</f>
        <v>2061426.4029588681</v>
      </c>
    </row>
    <row r="45" spans="1:15" ht="15.75" customHeight="1" x14ac:dyDescent="0.2"/>
    <row r="46" spans="1:15" ht="15.75" customHeight="1" x14ac:dyDescent="0.2">
      <c r="A46" s="28" t="s">
        <v>96</v>
      </c>
      <c r="C46" s="29">
        <f>C44+C37</f>
        <v>1118723</v>
      </c>
      <c r="D46" s="29">
        <f>D44+D37</f>
        <v>1545068</v>
      </c>
      <c r="E46" s="29">
        <f>E44+E37</f>
        <v>4501797</v>
      </c>
      <c r="F46" s="29">
        <f>F44+F37</f>
        <v>4643834</v>
      </c>
      <c r="G46" s="29">
        <f>G44+G37</f>
        <v>4812153</v>
      </c>
      <c r="H46" s="29">
        <f t="shared" ref="H46:M46" si="8">H37+H44</f>
        <v>4174750</v>
      </c>
      <c r="I46" s="48">
        <f t="shared" si="8"/>
        <v>4099678.7838802678</v>
      </c>
      <c r="J46" s="48">
        <f t="shared" si="8"/>
        <v>4048726.6943303738</v>
      </c>
      <c r="K46" s="48">
        <f t="shared" si="8"/>
        <v>4056477.7288457337</v>
      </c>
      <c r="L46" s="48">
        <f t="shared" si="8"/>
        <v>4128017.0900223325</v>
      </c>
      <c r="M46" s="48">
        <f t="shared" si="8"/>
        <v>4273423.4204815216</v>
      </c>
    </row>
    <row r="47" spans="1:15" ht="15.75" customHeight="1" x14ac:dyDescent="0.2"/>
    <row r="48" spans="1:15" ht="15.75" customHeight="1" x14ac:dyDescent="0.2">
      <c r="A48" s="50" t="s">
        <v>97</v>
      </c>
      <c r="C48" s="51">
        <f t="shared" ref="C48:M48" si="9">C20-C46</f>
        <v>0</v>
      </c>
      <c r="D48" s="51">
        <f t="shared" si="9"/>
        <v>0</v>
      </c>
      <c r="E48" s="51">
        <f t="shared" si="9"/>
        <v>0</v>
      </c>
      <c r="F48" s="51">
        <f t="shared" si="9"/>
        <v>0</v>
      </c>
      <c r="G48" s="51">
        <f t="shared" si="9"/>
        <v>0</v>
      </c>
      <c r="H48" s="51">
        <f t="shared" si="9"/>
        <v>0</v>
      </c>
      <c r="I48" s="52">
        <f t="shared" si="9"/>
        <v>0</v>
      </c>
      <c r="J48" s="52">
        <f t="shared" si="9"/>
        <v>0</v>
      </c>
      <c r="K48" s="52">
        <f t="shared" si="9"/>
        <v>0</v>
      </c>
      <c r="L48" s="52">
        <f t="shared" si="9"/>
        <v>0</v>
      </c>
      <c r="M48" s="52">
        <f t="shared" si="9"/>
        <v>0</v>
      </c>
      <c r="O48" s="25" t="s">
        <v>98</v>
      </c>
    </row>
    <row r="50" spans="1:1" ht="15" customHeight="1" x14ac:dyDescent="0.2">
      <c r="A50" s="38" t="s">
        <v>99</v>
      </c>
    </row>
  </sheetData>
  <mergeCells count="11">
    <mergeCell ref="A39:M39"/>
    <mergeCell ref="A7:M7"/>
    <mergeCell ref="A14:M14"/>
    <mergeCell ref="A22:M22"/>
    <mergeCell ref="A23:M23"/>
    <mergeCell ref="A31:M31"/>
    <mergeCell ref="A1:M1"/>
    <mergeCell ref="A2:M2"/>
    <mergeCell ref="C4:G4"/>
    <mergeCell ref="I4:M4"/>
    <mergeCell ref="A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47" sqref="A47"/>
    </sheetView>
  </sheetViews>
  <sheetFormatPr baseColWidth="10" defaultColWidth="8.6640625" defaultRowHeight="15" x14ac:dyDescent="0.2"/>
  <cols>
    <col min="1" max="1" width="40" customWidth="1"/>
    <col min="2" max="2" width="2" customWidth="1"/>
    <col min="3" max="13" width="12" customWidth="1"/>
  </cols>
  <sheetData>
    <row r="1" spans="1:14" ht="25.5" customHeight="1" x14ac:dyDescent="0.2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ht="15" customHeight="1" x14ac:dyDescent="0.2">
      <c r="A2" s="13" t="s">
        <v>100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4" ht="15.75" customHeight="1" x14ac:dyDescent="0.2">
      <c r="A4" s="19" t="s">
        <v>16</v>
      </c>
      <c r="C4" s="12" t="s">
        <v>17</v>
      </c>
      <c r="D4" s="12"/>
      <c r="E4" s="12"/>
      <c r="F4" s="12"/>
      <c r="G4" s="12"/>
      <c r="H4" s="20"/>
      <c r="I4" s="11" t="s">
        <v>18</v>
      </c>
      <c r="J4" s="11"/>
      <c r="K4" s="11"/>
      <c r="L4" s="11"/>
      <c r="M4" s="11"/>
    </row>
    <row r="5" spans="1:14" ht="18" customHeight="1" x14ac:dyDescent="0.2"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23</v>
      </c>
      <c r="H5" s="20">
        <v>2025</v>
      </c>
      <c r="I5" s="21" t="s">
        <v>24</v>
      </c>
      <c r="J5" s="21" t="s">
        <v>25</v>
      </c>
      <c r="K5" s="21" t="s">
        <v>26</v>
      </c>
      <c r="L5" s="21" t="s">
        <v>27</v>
      </c>
      <c r="M5" s="21" t="s">
        <v>28</v>
      </c>
    </row>
    <row r="6" spans="1:14" ht="15.75" customHeight="1" x14ac:dyDescent="0.2">
      <c r="A6" s="10" t="s">
        <v>101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4" ht="15.75" customHeight="1" x14ac:dyDescent="0.2">
      <c r="A7" s="22" t="s">
        <v>102</v>
      </c>
      <c r="C7" s="53">
        <f>'Income Statement'!C28</f>
        <v>312861</v>
      </c>
      <c r="D7" s="53">
        <f>'Income Statement'!D28</f>
        <v>725694</v>
      </c>
      <c r="E7" s="53">
        <f>'Income Statement'!E28</f>
        <v>540159</v>
      </c>
      <c r="F7" s="53">
        <f>'Income Statement'!F28</f>
        <v>792566</v>
      </c>
      <c r="G7" s="53">
        <f>'Income Statement'!G28</f>
        <v>950071</v>
      </c>
      <c r="H7" s="53">
        <f>'Income Statement'!H28</f>
        <v>-81198</v>
      </c>
      <c r="I7" s="54">
        <f>'Income Statement'!I28</f>
        <v>609056.10805108934</v>
      </c>
      <c r="J7" s="54">
        <f>'Income Statement'!J28</f>
        <v>644450.2641357492</v>
      </c>
      <c r="K7" s="54">
        <f>'Income Statement'!K28</f>
        <v>694501.25151932193</v>
      </c>
      <c r="L7" s="54">
        <f>'Income Statement'!L28</f>
        <v>750665.08353642258</v>
      </c>
      <c r="M7" s="54">
        <f>'Income Statement'!M28</f>
        <v>819470.69571628515</v>
      </c>
      <c r="N7" s="25" t="s">
        <v>103</v>
      </c>
    </row>
    <row r="8" spans="1:14" ht="15.75" customHeight="1" x14ac:dyDescent="0.2">
      <c r="A8" s="22" t="s">
        <v>104</v>
      </c>
      <c r="C8" s="33">
        <v>27619</v>
      </c>
      <c r="D8" s="33">
        <v>31976</v>
      </c>
      <c r="E8" s="33">
        <v>39229</v>
      </c>
      <c r="F8" s="33">
        <v>54304</v>
      </c>
      <c r="G8" s="33">
        <v>69840</v>
      </c>
      <c r="H8" s="33">
        <v>79282</v>
      </c>
      <c r="I8" s="54">
        <f>'Income Statement'!I6*0.02</f>
        <v>80004.810599999997</v>
      </c>
      <c r="J8" s="54">
        <f>'Income Statement'!J6*0.02</f>
        <v>80804.858705999999</v>
      </c>
      <c r="K8" s="54">
        <f>'Income Statement'!K6*0.02</f>
        <v>82824.980173649994</v>
      </c>
      <c r="L8" s="54">
        <f>'Income Statement'!L6*0.02</f>
        <v>85723.854479727743</v>
      </c>
      <c r="M8" s="54">
        <f>'Income Statement'!M6*0.02</f>
        <v>89409.98022235604</v>
      </c>
      <c r="N8" s="25" t="s">
        <v>105</v>
      </c>
    </row>
    <row r="9" spans="1:14" ht="15.75" customHeight="1" x14ac:dyDescent="0.2">
      <c r="A9" s="22" t="s">
        <v>106</v>
      </c>
      <c r="C9" s="33">
        <v>16361</v>
      </c>
      <c r="D9" s="33">
        <v>38122</v>
      </c>
      <c r="E9" s="33">
        <v>31303</v>
      </c>
      <c r="F9" s="33">
        <v>29072</v>
      </c>
      <c r="G9" s="33">
        <v>33053</v>
      </c>
      <c r="H9" s="33">
        <v>36701</v>
      </c>
      <c r="I9" s="24">
        <f>'Income Statement'!I6*0.008</f>
        <v>32001.92424</v>
      </c>
      <c r="J9" s="24">
        <f>'Income Statement'!J6*0.008</f>
        <v>32321.943482400002</v>
      </c>
      <c r="K9" s="24">
        <f>'Income Statement'!K6*0.008</f>
        <v>33129.99206946</v>
      </c>
      <c r="L9" s="24">
        <f>'Income Statement'!L6*0.008</f>
        <v>34289.541791891097</v>
      </c>
      <c r="M9" s="24">
        <f>'Income Statement'!M6*0.008</f>
        <v>35763.992088942417</v>
      </c>
    </row>
    <row r="10" spans="1:14" ht="15.75" customHeight="1" x14ac:dyDescent="0.2">
      <c r="A10" s="22" t="s">
        <v>107</v>
      </c>
      <c r="C10" s="33">
        <v>-325061</v>
      </c>
      <c r="D10" s="33">
        <v>-241283</v>
      </c>
      <c r="E10" s="33">
        <v>-4760</v>
      </c>
      <c r="F10" s="33">
        <v>-410319</v>
      </c>
      <c r="G10" s="33">
        <v>-254454</v>
      </c>
      <c r="H10" s="33">
        <v>47093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</row>
    <row r="11" spans="1:14" ht="15.75" customHeight="1" x14ac:dyDescent="0.2">
      <c r="A11" s="9" t="s">
        <v>108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4" ht="15.75" customHeight="1" x14ac:dyDescent="0.2">
      <c r="A12" s="22" t="s">
        <v>109</v>
      </c>
      <c r="C12" s="33">
        <v>-47045</v>
      </c>
      <c r="D12" s="33">
        <v>-35063</v>
      </c>
      <c r="E12" s="33">
        <v>-56766</v>
      </c>
      <c r="F12" s="33">
        <v>-13317</v>
      </c>
      <c r="G12" s="33">
        <v>42587</v>
      </c>
      <c r="H12" s="31">
        <v>-6169</v>
      </c>
      <c r="I12" s="54">
        <f>-('Balance Sheet'!I9-'Balance Sheet'!H9)</f>
        <v>15227.670219178137</v>
      </c>
      <c r="J12" s="54">
        <f>-('Balance Sheet'!J9-'Balance Sheet'!I9)</f>
        <v>-3178.2732978082495</v>
      </c>
      <c r="K12" s="54">
        <f>-('Balance Sheet'!K9-'Balance Sheet'!J9)</f>
        <v>-8025.1400769657339</v>
      </c>
      <c r="L12" s="54">
        <f>-('Balance Sheet'!L9-'Balance Sheet'!K9)</f>
        <v>-11516.07601044589</v>
      </c>
      <c r="M12" s="54">
        <f>-('Balance Sheet'!M9-'Balance Sheet'!L9)</f>
        <v>-14643.51322413981</v>
      </c>
    </row>
    <row r="13" spans="1:14" ht="15.75" customHeight="1" x14ac:dyDescent="0.2">
      <c r="A13" s="22" t="s">
        <v>110</v>
      </c>
      <c r="C13" s="33">
        <v>-13462</v>
      </c>
      <c r="D13" s="33">
        <v>-43063</v>
      </c>
      <c r="E13" s="33">
        <v>-91614</v>
      </c>
      <c r="F13" s="33">
        <v>86350</v>
      </c>
      <c r="G13" s="33">
        <v>22055</v>
      </c>
      <c r="H13" s="31">
        <v>-13842</v>
      </c>
      <c r="I13" s="54">
        <f>-('Balance Sheet'!I10-'Balance Sheet'!H10)</f>
        <v>9377.7239012329374</v>
      </c>
      <c r="J13" s="54">
        <f>-('Balance Sheet'!J10-'Balance Sheet'!I10)</f>
        <v>-1844.1656821455108</v>
      </c>
      <c r="K13" s="54">
        <f>-('Balance Sheet'!K10-'Balance Sheet'!J10)</f>
        <v>-6339.8606608029222</v>
      </c>
      <c r="L13" s="54">
        <f>-('Balance Sheet'!L10-'Balance Sheet'!K10)</f>
        <v>-11006.872570693318</v>
      </c>
      <c r="M13" s="54">
        <f>-('Balance Sheet'!M10-'Balance Sheet'!L10)</f>
        <v>-13372.745153931144</v>
      </c>
    </row>
    <row r="14" spans="1:14" ht="15.75" customHeight="1" x14ac:dyDescent="0.2">
      <c r="A14" s="22" t="s">
        <v>111</v>
      </c>
      <c r="C14" s="31">
        <v>5007</v>
      </c>
      <c r="D14" s="31">
        <v>-6212</v>
      </c>
      <c r="E14" s="31">
        <v>-14435</v>
      </c>
      <c r="F14" s="31">
        <v>-31839</v>
      </c>
      <c r="G14" s="31">
        <v>-13892</v>
      </c>
      <c r="H14" s="31">
        <v>-22317</v>
      </c>
      <c r="I14" s="54">
        <f>-('Balance Sheet'!I11-'Balance Sheet'!H11)</f>
        <v>5784.1136400000032</v>
      </c>
      <c r="J14" s="54">
        <f>-('Balance Sheet'!J11-'Balance Sheet'!I11)</f>
        <v>-480.02886360000412</v>
      </c>
      <c r="K14" s="54">
        <f>-('Balance Sheet'!K11-'Balance Sheet'!J11)</f>
        <v>-1212.0728805899926</v>
      </c>
      <c r="L14" s="54">
        <f>-('Balance Sheet'!L11-'Balance Sheet'!K11)</f>
        <v>-1739.3245836466522</v>
      </c>
      <c r="M14" s="54">
        <f>-('Balance Sheet'!M11-'Balance Sheet'!L11)</f>
        <v>-2211.6754455769769</v>
      </c>
    </row>
    <row r="15" spans="1:14" ht="15.75" customHeight="1" x14ac:dyDescent="0.2">
      <c r="A15" s="22" t="s">
        <v>112</v>
      </c>
      <c r="C15" s="31">
        <v>23229</v>
      </c>
      <c r="D15" s="31">
        <v>34868</v>
      </c>
      <c r="E15" s="31">
        <v>41701</v>
      </c>
      <c r="F15" s="31">
        <v>37197</v>
      </c>
      <c r="G15" s="31">
        <v>3951</v>
      </c>
      <c r="H15">
        <v>709</v>
      </c>
      <c r="I15" s="54">
        <f>'Balance Sheet'!I24-'Balance Sheet'!H24</f>
        <v>13746.838729178067</v>
      </c>
      <c r="J15" s="54">
        <f>'Balance Sheet'!J24-'Balance Sheet'!I24</f>
        <v>1797.4779433569638</v>
      </c>
      <c r="K15" s="54">
        <f>'Balance Sheet'!K24-'Balance Sheet'!J24</f>
        <v>6179.357859263604</v>
      </c>
      <c r="L15" s="54">
        <f>'Balance Sheet'!L24-'Balance Sheet'!K24</f>
        <v>10728.217568903638</v>
      </c>
      <c r="M15" s="54">
        <f>'Balance Sheet'!M24-'Balance Sheet'!L24</f>
        <v>13034.194643704977</v>
      </c>
    </row>
    <row r="16" spans="1:14" ht="15.75" customHeight="1" x14ac:dyDescent="0.2">
      <c r="A16" s="22" t="s">
        <v>113</v>
      </c>
      <c r="C16" s="31">
        <v>22358</v>
      </c>
      <c r="D16" s="31">
        <v>38448</v>
      </c>
      <c r="E16" s="31">
        <v>38629</v>
      </c>
      <c r="F16" s="31">
        <v>46695</v>
      </c>
      <c r="G16" s="31">
        <v>9971</v>
      </c>
      <c r="H16">
        <v>524</v>
      </c>
      <c r="I16" s="54">
        <f>'Balance Sheet'!I25-'Balance Sheet'!H25</f>
        <v>6955.0132500000036</v>
      </c>
      <c r="J16" s="54">
        <f>'Balance Sheet'!J25-'Balance Sheet'!I25</f>
        <v>1000.0601325000025</v>
      </c>
      <c r="K16" s="54">
        <f>'Balance Sheet'!K25-'Balance Sheet'!J25</f>
        <v>2525.1518345624936</v>
      </c>
      <c r="L16" s="54">
        <f>'Balance Sheet'!L25-'Balance Sheet'!K25</f>
        <v>3623.5928825971932</v>
      </c>
      <c r="M16" s="54">
        <f>'Balance Sheet'!M25-'Balance Sheet'!L25</f>
        <v>4607.6571782853571</v>
      </c>
    </row>
    <row r="17" spans="1:14" ht="15.75" customHeight="1" x14ac:dyDescent="0.2">
      <c r="A17" s="22" t="s">
        <v>114</v>
      </c>
      <c r="C17" s="31">
        <v>142301</v>
      </c>
      <c r="D17" s="31">
        <v>-33504</v>
      </c>
      <c r="E17" s="31">
        <v>-9197</v>
      </c>
      <c r="F17" s="31">
        <v>241439</v>
      </c>
      <c r="G17" s="31">
        <v>3758</v>
      </c>
      <c r="H17" s="31">
        <v>0</v>
      </c>
      <c r="I17" s="54">
        <f>'Balance Sheet'!I28-'Balance Sheet'!H28</f>
        <v>-4592.4678100000019</v>
      </c>
      <c r="J17" s="54">
        <f>'Balance Sheet'!J28-'Balance Sheet'!I28</f>
        <v>920.0553218999994</v>
      </c>
      <c r="K17" s="54">
        <f>'Balance Sheet'!K28-'Balance Sheet'!J28</f>
        <v>2323.1396877974912</v>
      </c>
      <c r="L17" s="54">
        <f>'Balance Sheet'!L28-'Balance Sheet'!K28</f>
        <v>3333.7054519894155</v>
      </c>
      <c r="M17" s="54">
        <f>'Balance Sheet'!M28-'Balance Sheet'!L28</f>
        <v>4239.0446040225361</v>
      </c>
    </row>
    <row r="18" spans="1:14" ht="15.75" customHeight="1" x14ac:dyDescent="0.2">
      <c r="A18" s="22" t="s">
        <v>115</v>
      </c>
      <c r="C18" s="42">
        <v>102734</v>
      </c>
      <c r="D18" s="42">
        <v>57182</v>
      </c>
      <c r="E18" s="42">
        <v>88893</v>
      </c>
      <c r="F18" s="42">
        <v>98296</v>
      </c>
      <c r="G18" s="42">
        <v>125546</v>
      </c>
      <c r="H18" s="31">
        <v>669648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</row>
    <row r="19" spans="1:14" ht="15.75" customHeight="1" x14ac:dyDescent="0.2">
      <c r="A19" s="28" t="s">
        <v>116</v>
      </c>
      <c r="C19" s="29">
        <f t="shared" ref="C19:M19" si="0">SUM(C7:C18)</f>
        <v>266902</v>
      </c>
      <c r="D19" s="29">
        <f t="shared" si="0"/>
        <v>567165</v>
      </c>
      <c r="E19" s="29">
        <f t="shared" si="0"/>
        <v>603142</v>
      </c>
      <c r="F19" s="29">
        <f t="shared" si="0"/>
        <v>930444</v>
      </c>
      <c r="G19" s="29">
        <f t="shared" si="0"/>
        <v>992486</v>
      </c>
      <c r="H19" s="29">
        <f t="shared" si="0"/>
        <v>710431</v>
      </c>
      <c r="I19" s="48">
        <f t="shared" si="0"/>
        <v>767561.73482067836</v>
      </c>
      <c r="J19" s="48">
        <f t="shared" si="0"/>
        <v>755792.19187835255</v>
      </c>
      <c r="K19" s="48">
        <f t="shared" si="0"/>
        <v>805906.7995256969</v>
      </c>
      <c r="L19" s="48">
        <f t="shared" si="0"/>
        <v>864101.72254674602</v>
      </c>
      <c r="M19" s="48">
        <f t="shared" si="0"/>
        <v>936297.63062994857</v>
      </c>
      <c r="N19" s="25" t="s">
        <v>117</v>
      </c>
    </row>
    <row r="20" spans="1:14" ht="15.75" customHeight="1" x14ac:dyDescent="0.2"/>
    <row r="21" spans="1:14" ht="15.75" customHeight="1" x14ac:dyDescent="0.2">
      <c r="A21" s="10" t="s">
        <v>118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4" ht="15.75" customHeight="1" x14ac:dyDescent="0.2">
      <c r="A22" s="22" t="s">
        <v>119</v>
      </c>
      <c r="C22" s="31">
        <v>-42033</v>
      </c>
      <c r="D22" s="31">
        <v>-55916</v>
      </c>
      <c r="E22" s="31">
        <v>-104190</v>
      </c>
      <c r="F22" s="31">
        <v>-115625</v>
      </c>
      <c r="G22" s="31">
        <v>-69347</v>
      </c>
      <c r="H22" s="31">
        <v>-51231</v>
      </c>
      <c r="I22" s="24">
        <f>-'Income Statement'!I6*0.018</f>
        <v>-72004.329539999992</v>
      </c>
      <c r="J22" s="24">
        <f>-'Income Statement'!J6*0.018</f>
        <v>-72724.37283539999</v>
      </c>
      <c r="K22" s="24">
        <f>-'Income Statement'!K6*0.018</f>
        <v>-74542.482156284983</v>
      </c>
      <c r="L22" s="24">
        <f>-'Income Statement'!L6*0.018</f>
        <v>-77151.469031754968</v>
      </c>
      <c r="M22" s="24">
        <f>-'Income Statement'!M6*0.018</f>
        <v>-80468.98220012043</v>
      </c>
      <c r="N22" s="25" t="s">
        <v>120</v>
      </c>
    </row>
    <row r="23" spans="1:14" ht="15.75" customHeight="1" x14ac:dyDescent="0.2">
      <c r="A23" s="22" t="s">
        <v>121</v>
      </c>
      <c r="C23" s="33"/>
      <c r="D23" s="33"/>
      <c r="E23" s="31">
        <v>-2046881</v>
      </c>
      <c r="F23" s="31"/>
      <c r="G23" s="33"/>
      <c r="H23" s="31"/>
      <c r="I23" s="55">
        <v>0</v>
      </c>
      <c r="J23" s="55">
        <v>0</v>
      </c>
      <c r="K23" s="55">
        <v>0</v>
      </c>
      <c r="L23" s="55">
        <v>0</v>
      </c>
      <c r="M23" s="55">
        <v>0</v>
      </c>
    </row>
    <row r="24" spans="1:14" ht="15.75" customHeight="1" x14ac:dyDescent="0.2">
      <c r="A24" s="22" t="s">
        <v>122</v>
      </c>
      <c r="C24">
        <v>463</v>
      </c>
      <c r="E24" s="33"/>
      <c r="F24" s="33"/>
      <c r="G24" s="33"/>
      <c r="H24" s="33"/>
      <c r="I24" s="55">
        <v>0</v>
      </c>
      <c r="J24" s="55">
        <v>0</v>
      </c>
      <c r="K24" s="55">
        <v>0</v>
      </c>
      <c r="L24" s="55">
        <v>0</v>
      </c>
      <c r="M24" s="55">
        <v>0</v>
      </c>
    </row>
    <row r="25" spans="1:14" ht="15.75" customHeight="1" x14ac:dyDescent="0.2">
      <c r="A25" s="22" t="s">
        <v>123</v>
      </c>
      <c r="C25">
        <v>-192</v>
      </c>
      <c r="D25">
        <v>-9</v>
      </c>
      <c r="E25">
        <v>-20</v>
      </c>
      <c r="F25">
        <v>-46</v>
      </c>
      <c r="G25" s="33"/>
      <c r="H25" s="33"/>
      <c r="I25" s="55">
        <v>0</v>
      </c>
      <c r="J25" s="55">
        <v>0</v>
      </c>
      <c r="K25" s="55">
        <v>0</v>
      </c>
      <c r="L25" s="55">
        <v>0</v>
      </c>
      <c r="M25" s="55">
        <v>0</v>
      </c>
    </row>
    <row r="26" spans="1:14" ht="15.75" customHeight="1" x14ac:dyDescent="0.2">
      <c r="A26" s="28" t="s">
        <v>124</v>
      </c>
      <c r="C26" s="29">
        <f>SUM(C22:C25)</f>
        <v>-41762</v>
      </c>
      <c r="D26" s="29">
        <f>SUM(D22:D25)</f>
        <v>-55925</v>
      </c>
      <c r="E26" s="29">
        <f>SUM(E22:E25)</f>
        <v>-2151091</v>
      </c>
      <c r="F26" s="29">
        <f>SUM(F22:F25)</f>
        <v>-115671</v>
      </c>
      <c r="G26" s="29">
        <f>SUM(G22:G25)</f>
        <v>-69347</v>
      </c>
      <c r="H26" s="42">
        <v>-51231</v>
      </c>
      <c r="I26" s="48">
        <f>I22+I23+I24+I25</f>
        <v>-72004.329539999992</v>
      </c>
      <c r="J26" s="48">
        <f>J22+J23+J24+J25</f>
        <v>-72724.37283539999</v>
      </c>
      <c r="K26" s="48">
        <f>K22+K23+K24+K25</f>
        <v>-74542.482156284983</v>
      </c>
      <c r="L26" s="48">
        <f>L22+L23+L24+L25</f>
        <v>-77151.469031754968</v>
      </c>
      <c r="M26" s="48">
        <f>M22+M23+M24+M25</f>
        <v>-80468.98220012043</v>
      </c>
    </row>
    <row r="27" spans="1:14" ht="15.75" customHeight="1" x14ac:dyDescent="0.2"/>
    <row r="28" spans="1:14" ht="15.75" customHeight="1" x14ac:dyDescent="0.2">
      <c r="A28" s="10" t="s">
        <v>125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4" ht="15.75" customHeight="1" x14ac:dyDescent="0.2">
      <c r="A29" s="22" t="s">
        <v>126</v>
      </c>
      <c r="C29" s="31">
        <v>-25000</v>
      </c>
      <c r="D29" s="31">
        <v>605000</v>
      </c>
      <c r="E29" s="31">
        <v>1594613</v>
      </c>
      <c r="F29" s="31">
        <v>-665798</v>
      </c>
      <c r="G29" s="31">
        <v>-323249</v>
      </c>
      <c r="H29" s="31">
        <v>-128000</v>
      </c>
      <c r="I29" s="55">
        <v>-150000</v>
      </c>
      <c r="J29" s="55">
        <v>-150000</v>
      </c>
      <c r="K29" s="55">
        <v>-150000</v>
      </c>
      <c r="L29" s="55">
        <v>-150000</v>
      </c>
      <c r="M29" s="55">
        <v>-150000</v>
      </c>
      <c r="N29" s="25" t="s">
        <v>127</v>
      </c>
    </row>
    <row r="30" spans="1:14" ht="15.75" customHeight="1" x14ac:dyDescent="0.2">
      <c r="A30" s="22" t="s">
        <v>128</v>
      </c>
      <c r="C30" s="33"/>
      <c r="D30" s="33"/>
      <c r="E30" s="33"/>
      <c r="F30" s="33"/>
      <c r="G30" s="33"/>
      <c r="H30" s="33"/>
      <c r="I30" s="55">
        <v>0</v>
      </c>
      <c r="J30" s="55">
        <v>0</v>
      </c>
      <c r="K30" s="55">
        <v>0</v>
      </c>
      <c r="L30" s="55">
        <v>0</v>
      </c>
      <c r="M30" s="55">
        <v>0</v>
      </c>
    </row>
    <row r="31" spans="1:14" ht="15.75" customHeight="1" x14ac:dyDescent="0.2">
      <c r="A31" s="22" t="s">
        <v>129</v>
      </c>
      <c r="C31" s="31">
        <v>-173892</v>
      </c>
      <c r="D31" s="31">
        <v>-1020119</v>
      </c>
      <c r="E31" s="31">
        <v>-11477</v>
      </c>
      <c r="F31" s="31">
        <v>-192105</v>
      </c>
      <c r="G31" s="31">
        <v>-560690</v>
      </c>
      <c r="H31" s="31">
        <v>-586565</v>
      </c>
      <c r="I31" s="55">
        <v>-550000</v>
      </c>
      <c r="J31" s="55">
        <v>-550000</v>
      </c>
      <c r="K31" s="55">
        <v>-550000</v>
      </c>
      <c r="L31" s="55">
        <v>-550000</v>
      </c>
      <c r="M31" s="55">
        <v>-550000</v>
      </c>
      <c r="N31" s="25" t="s">
        <v>130</v>
      </c>
    </row>
    <row r="32" spans="1:14" ht="15.75" customHeight="1" x14ac:dyDescent="0.2">
      <c r="A32" s="22" t="s">
        <v>131</v>
      </c>
      <c r="C32">
        <v>-518</v>
      </c>
      <c r="D32" s="31">
        <v>-14755</v>
      </c>
      <c r="E32" s="31">
        <v>-53596</v>
      </c>
      <c r="F32" s="33"/>
      <c r="G32" s="33"/>
      <c r="H32" s="33"/>
      <c r="I32" s="55">
        <v>0</v>
      </c>
      <c r="J32" s="55">
        <v>0</v>
      </c>
      <c r="K32" s="55">
        <v>0</v>
      </c>
      <c r="L32" s="55">
        <v>0</v>
      </c>
      <c r="M32" s="55">
        <v>0</v>
      </c>
    </row>
    <row r="33" spans="1:13" ht="15.75" customHeight="1" x14ac:dyDescent="0.2">
      <c r="A33" s="22" t="s">
        <v>132</v>
      </c>
      <c r="C33" s="31">
        <v>1372</v>
      </c>
      <c r="D33">
        <v>236</v>
      </c>
      <c r="E33" s="33">
        <v>119</v>
      </c>
      <c r="F33" s="31">
        <v>-1736</v>
      </c>
      <c r="G33" s="33">
        <v>-2109</v>
      </c>
      <c r="H33" s="33"/>
      <c r="I33" s="55">
        <v>0</v>
      </c>
      <c r="J33" s="55">
        <v>0</v>
      </c>
      <c r="K33" s="55">
        <v>0</v>
      </c>
      <c r="L33" s="55">
        <v>0</v>
      </c>
      <c r="M33" s="55">
        <v>0</v>
      </c>
    </row>
    <row r="34" spans="1:13" ht="15.75" customHeight="1" x14ac:dyDescent="0.2">
      <c r="A34" s="28" t="s">
        <v>133</v>
      </c>
      <c r="C34" s="29">
        <f t="shared" ref="C34:M34" si="1">SUM(C29:C33)</f>
        <v>-198038</v>
      </c>
      <c r="D34" s="29">
        <f t="shared" si="1"/>
        <v>-429638</v>
      </c>
      <c r="E34" s="29">
        <f t="shared" si="1"/>
        <v>1529659</v>
      </c>
      <c r="F34" s="29">
        <f t="shared" si="1"/>
        <v>-859639</v>
      </c>
      <c r="G34" s="29">
        <f t="shared" si="1"/>
        <v>-886048</v>
      </c>
      <c r="H34" s="29">
        <f t="shared" si="1"/>
        <v>-714565</v>
      </c>
      <c r="I34" s="48">
        <f t="shared" si="1"/>
        <v>-700000</v>
      </c>
      <c r="J34" s="48">
        <f t="shared" si="1"/>
        <v>-700000</v>
      </c>
      <c r="K34" s="48">
        <f t="shared" si="1"/>
        <v>-700000</v>
      </c>
      <c r="L34" s="48">
        <f t="shared" si="1"/>
        <v>-700000</v>
      </c>
      <c r="M34" s="48">
        <f t="shared" si="1"/>
        <v>-700000</v>
      </c>
    </row>
    <row r="35" spans="1:13" ht="15.75" customHeight="1" x14ac:dyDescent="0.2"/>
    <row r="36" spans="1:13" ht="15.75" customHeight="1" x14ac:dyDescent="0.2">
      <c r="A36" s="28" t="s">
        <v>134</v>
      </c>
      <c r="C36" s="29">
        <f t="shared" ref="C36:H36" si="2">C19+C26+C34</f>
        <v>27102</v>
      </c>
      <c r="D36" s="29">
        <f t="shared" si="2"/>
        <v>81602</v>
      </c>
      <c r="E36" s="29">
        <f t="shared" si="2"/>
        <v>-18290</v>
      </c>
      <c r="F36" s="29">
        <f t="shared" si="2"/>
        <v>-44866</v>
      </c>
      <c r="G36" s="29">
        <f t="shared" si="2"/>
        <v>37091</v>
      </c>
      <c r="H36" s="29">
        <f t="shared" si="2"/>
        <v>-55365</v>
      </c>
      <c r="I36" s="48">
        <f>I39-I37</f>
        <v>-15681.227299320512</v>
      </c>
      <c r="J36" s="48">
        <f>J39-J37</f>
        <v>-27374.071522848681</v>
      </c>
      <c r="K36" s="48">
        <f>K39-K37</f>
        <v>21456.458914366085</v>
      </c>
      <c r="L36" s="48">
        <f>L39-L37</f>
        <v>76849.47345978627</v>
      </c>
      <c r="M36" s="48">
        <f>M39-M37</f>
        <v>145119.39465777669</v>
      </c>
    </row>
    <row r="37" spans="1:13" ht="15.75" customHeight="1" x14ac:dyDescent="0.2">
      <c r="A37" s="22" t="s">
        <v>135</v>
      </c>
      <c r="C37" s="30">
        <v>112045</v>
      </c>
      <c r="D37" s="30">
        <v>139273</v>
      </c>
      <c r="E37" s="30">
        <v>216925</v>
      </c>
      <c r="F37" s="30">
        <v>194885</v>
      </c>
      <c r="G37" s="30">
        <v>153097</v>
      </c>
      <c r="H37" s="30">
        <v>183678</v>
      </c>
      <c r="I37" s="54">
        <f>'Balance Sheet'!H8</f>
        <v>130354</v>
      </c>
      <c r="J37" s="54">
        <f>'Balance Sheet'!I8</f>
        <v>114672.77270067949</v>
      </c>
      <c r="K37" s="54">
        <f>'Balance Sheet'!J8</f>
        <v>87298.701177830808</v>
      </c>
      <c r="L37" s="54">
        <f>'Balance Sheet'!K8</f>
        <v>108755.16009219689</v>
      </c>
      <c r="M37" s="54">
        <f>'Balance Sheet'!L8</f>
        <v>185604.63355198316</v>
      </c>
    </row>
    <row r="38" spans="1:13" ht="15.75" customHeight="1" x14ac:dyDescent="0.2">
      <c r="A38" s="22" t="s">
        <v>136</v>
      </c>
      <c r="C38" s="30">
        <v>126</v>
      </c>
      <c r="D38" s="30">
        <v>-3950</v>
      </c>
      <c r="E38" s="30">
        <v>-3750</v>
      </c>
      <c r="F38" s="30">
        <v>3078</v>
      </c>
      <c r="G38" s="30">
        <v>-6510</v>
      </c>
      <c r="H38" s="30">
        <v>5598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</row>
    <row r="39" spans="1:13" ht="15.75" customHeight="1" x14ac:dyDescent="0.2">
      <c r="A39" s="28" t="s">
        <v>137</v>
      </c>
      <c r="C39" s="29">
        <f t="shared" ref="C39:H39" si="3">SUM(C36:C38)</f>
        <v>139273</v>
      </c>
      <c r="D39" s="29">
        <f t="shared" si="3"/>
        <v>216925</v>
      </c>
      <c r="E39" s="29">
        <f t="shared" si="3"/>
        <v>194885</v>
      </c>
      <c r="F39" s="29">
        <f t="shared" si="3"/>
        <v>153097</v>
      </c>
      <c r="G39" s="29">
        <f t="shared" si="3"/>
        <v>183678</v>
      </c>
      <c r="H39" s="29">
        <f t="shared" si="3"/>
        <v>133911</v>
      </c>
      <c r="I39" s="56">
        <f>'Balance Sheet'!I8</f>
        <v>114672.77270067949</v>
      </c>
      <c r="J39" s="56">
        <f>'Balance Sheet'!J8</f>
        <v>87298.701177830808</v>
      </c>
      <c r="K39" s="56">
        <f>'Balance Sheet'!K8</f>
        <v>108755.16009219689</v>
      </c>
      <c r="L39" s="56">
        <f>'Balance Sheet'!L8</f>
        <v>185604.63355198316</v>
      </c>
      <c r="M39" s="56">
        <f>'Balance Sheet'!M8</f>
        <v>330724.02820975985</v>
      </c>
    </row>
    <row r="40" spans="1:13" ht="15.75" customHeight="1" x14ac:dyDescent="0.2">
      <c r="A40" s="25" t="s">
        <v>138</v>
      </c>
    </row>
    <row r="41" spans="1:13" ht="15.75" customHeight="1" x14ac:dyDescent="0.2">
      <c r="A41" s="25" t="s">
        <v>52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">
      <c r="A42" s="25"/>
      <c r="C42" s="57"/>
      <c r="D42" s="57"/>
      <c r="E42" s="57"/>
      <c r="F42" s="57"/>
      <c r="G42" s="57"/>
      <c r="H42" s="57"/>
      <c r="I42" s="40"/>
      <c r="J42" s="40"/>
      <c r="K42" s="40"/>
      <c r="L42" s="40"/>
      <c r="M42" s="40"/>
    </row>
    <row r="43" spans="1:13" ht="15.75" customHeight="1" x14ac:dyDescent="0.2">
      <c r="A43" s="22"/>
      <c r="C43" s="57"/>
      <c r="D43" s="57"/>
      <c r="E43" s="57"/>
      <c r="F43" s="57"/>
      <c r="G43" s="57"/>
      <c r="H43" s="57"/>
      <c r="I43" s="40"/>
      <c r="J43" s="40"/>
      <c r="K43" s="40"/>
      <c r="L43" s="40"/>
      <c r="M43" s="40"/>
    </row>
    <row r="44" spans="1:13" ht="15.75" customHeight="1" x14ac:dyDescent="0.2">
      <c r="A44" s="19"/>
      <c r="C44" s="58"/>
      <c r="D44" s="58"/>
      <c r="E44" s="58"/>
      <c r="F44" s="58"/>
      <c r="G44" s="58"/>
      <c r="H44" s="58"/>
      <c r="I44" s="59"/>
      <c r="J44" s="59"/>
      <c r="K44" s="59"/>
      <c r="L44" s="59"/>
      <c r="M44" s="59"/>
    </row>
    <row r="45" spans="1:13" ht="15.75" customHeight="1" x14ac:dyDescent="0.2">
      <c r="A45" s="19"/>
      <c r="C45" s="58"/>
      <c r="D45" s="58"/>
      <c r="E45" s="58"/>
      <c r="F45" s="58"/>
      <c r="G45" s="58"/>
      <c r="H45" s="58"/>
      <c r="I45" s="59"/>
      <c r="J45" s="59"/>
      <c r="K45" s="59"/>
      <c r="L45" s="59"/>
      <c r="M45" s="59"/>
    </row>
    <row r="46" spans="1:13" ht="15" customHeight="1" x14ac:dyDescent="0.2"/>
    <row r="47" spans="1:13" ht="15" customHeight="1" x14ac:dyDescent="0.2">
      <c r="A47" s="38"/>
    </row>
  </sheetData>
  <mergeCells count="8">
    <mergeCell ref="A11:M11"/>
    <mergeCell ref="A21:M21"/>
    <mergeCell ref="A28:M28"/>
    <mergeCell ref="A1:M1"/>
    <mergeCell ref="A2:M2"/>
    <mergeCell ref="C4:G4"/>
    <mergeCell ref="I4:M4"/>
    <mergeCell ref="A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34" sqref="G34"/>
    </sheetView>
  </sheetViews>
  <sheetFormatPr baseColWidth="10" defaultColWidth="8.6640625" defaultRowHeight="15" x14ac:dyDescent="0.2"/>
  <cols>
    <col min="1" max="1" width="38" customWidth="1"/>
    <col min="2" max="2" width="2" customWidth="1"/>
    <col min="3" max="13" width="12" customWidth="1"/>
  </cols>
  <sheetData>
    <row r="1" spans="1:13" ht="25.5" customHeight="1" x14ac:dyDescent="0.2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" customHeight="1" x14ac:dyDescent="0.2">
      <c r="A2" s="13" t="s">
        <v>211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15.75" customHeight="1" x14ac:dyDescent="0.2">
      <c r="A4" s="19" t="s">
        <v>16</v>
      </c>
      <c r="C4" s="12" t="s">
        <v>17</v>
      </c>
      <c r="D4" s="12"/>
      <c r="E4" s="12"/>
      <c r="F4" s="12"/>
      <c r="G4" s="12"/>
      <c r="H4" s="20"/>
      <c r="I4" s="11" t="s">
        <v>18</v>
      </c>
      <c r="J4" s="11"/>
      <c r="K4" s="11"/>
      <c r="L4" s="11"/>
      <c r="M4" s="11"/>
    </row>
    <row r="5" spans="1:13" ht="18" customHeight="1" x14ac:dyDescent="0.2"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23</v>
      </c>
      <c r="H5" s="20">
        <v>2025</v>
      </c>
      <c r="I5" s="21" t="s">
        <v>24</v>
      </c>
      <c r="J5" s="21" t="s">
        <v>25</v>
      </c>
      <c r="K5" s="21" t="s">
        <v>26</v>
      </c>
      <c r="L5" s="21" t="s">
        <v>27</v>
      </c>
      <c r="M5" s="21" t="s">
        <v>28</v>
      </c>
    </row>
    <row r="6" spans="1:13" ht="15.75" customHeight="1" x14ac:dyDescent="0.2">
      <c r="A6" s="22" t="s">
        <v>29</v>
      </c>
      <c r="C6" s="53">
        <f>'Income Statement'!C6</f>
        <v>1385951</v>
      </c>
      <c r="D6" s="53">
        <f>'Income Statement'!D6</f>
        <v>2313416</v>
      </c>
      <c r="E6" s="53">
        <f>'Income Statement'!E6</f>
        <v>3554985</v>
      </c>
      <c r="F6" s="53">
        <f>'Income Statement'!F6</f>
        <v>3962347</v>
      </c>
      <c r="G6" s="53">
        <f>'Income Statement'!G6</f>
        <v>4102108</v>
      </c>
      <c r="H6" s="53">
        <f>'Income Statement'!H6</f>
        <v>4040647</v>
      </c>
      <c r="I6" s="53">
        <f>'Income Statement'!I6</f>
        <v>4000240.53</v>
      </c>
      <c r="J6" s="53">
        <f>'Income Statement'!J6</f>
        <v>4040242.9353</v>
      </c>
      <c r="K6" s="53">
        <f>'Income Statement'!K6</f>
        <v>4141249.0086824996</v>
      </c>
      <c r="L6" s="53">
        <f>'Income Statement'!L6</f>
        <v>4286192.7239863873</v>
      </c>
      <c r="M6" s="53">
        <f>'Income Statement'!M6</f>
        <v>4470499.011117802</v>
      </c>
    </row>
    <row r="7" spans="1:13" ht="15.75" customHeight="1" x14ac:dyDescent="0.2">
      <c r="A7" s="22" t="s">
        <v>212</v>
      </c>
      <c r="C7" s="53">
        <f>'Income Statement'!C9</f>
        <v>636003</v>
      </c>
      <c r="D7" s="53">
        <f>'Income Statement'!D9</f>
        <v>893196</v>
      </c>
      <c r="E7" s="53">
        <f>'Income Statement'!E9</f>
        <v>1694703</v>
      </c>
      <c r="F7" s="53">
        <f>'Income Statement'!F9</f>
        <v>1752337</v>
      </c>
      <c r="G7" s="53">
        <f>'Income Statement'!G9</f>
        <v>1691850</v>
      </c>
      <c r="H7" s="53">
        <f>'Income Statement'!H9</f>
        <v>1683592</v>
      </c>
      <c r="I7" s="53">
        <f>'Income Statement'!I9</f>
        <v>1660099.8199499999</v>
      </c>
      <c r="J7" s="53">
        <f>'Income Statement'!J9</f>
        <v>1668620.3322788998</v>
      </c>
      <c r="K7" s="53">
        <f>'Income Statement'!K9</f>
        <v>1697912.0935598249</v>
      </c>
      <c r="L7" s="53">
        <f>'Income Statement'!L9</f>
        <v>1748766.6313864458</v>
      </c>
      <c r="M7" s="53">
        <f>'Income Statement'!M9</f>
        <v>1810552.0995027099</v>
      </c>
    </row>
    <row r="8" spans="1:13" ht="15.75" customHeight="1" x14ac:dyDescent="0.2"/>
    <row r="9" spans="1:13" ht="15.75" customHeight="1" x14ac:dyDescent="0.2">
      <c r="A9" s="9" t="s">
        <v>55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15.75" customHeight="1" x14ac:dyDescent="0.2">
      <c r="A10" s="22" t="s">
        <v>213</v>
      </c>
      <c r="C10" s="53">
        <f>'Balance Sheet'!C9</f>
        <v>162520</v>
      </c>
      <c r="D10" s="53">
        <f>'Balance Sheet'!D9</f>
        <v>217182</v>
      </c>
      <c r="E10" s="53">
        <f>'Balance Sheet'!E9</f>
        <v>329188</v>
      </c>
      <c r="F10" s="53">
        <f>'Balance Sheet'!F9</f>
        <v>331231</v>
      </c>
      <c r="G10" s="53">
        <f>'Balance Sheet'!G9</f>
        <v>283907</v>
      </c>
      <c r="H10" s="53">
        <f>'Balance Sheet'!H9</f>
        <v>333055</v>
      </c>
      <c r="I10" s="53">
        <f>'Balance Sheet'!I9</f>
        <v>317827.32978082186</v>
      </c>
      <c r="J10" s="53">
        <f>'Balance Sheet'!J9</f>
        <v>321005.60307863011</v>
      </c>
      <c r="K10" s="53">
        <f>'Balance Sheet'!K9</f>
        <v>329030.74315559585</v>
      </c>
      <c r="L10" s="53">
        <f>'Balance Sheet'!L9</f>
        <v>340546.81916604174</v>
      </c>
      <c r="M10" s="53">
        <f>'Balance Sheet'!M9</f>
        <v>355190.33239018155</v>
      </c>
    </row>
    <row r="11" spans="1:13" ht="15.75" customHeight="1" x14ac:dyDescent="0.2">
      <c r="A11" s="22" t="s">
        <v>60</v>
      </c>
      <c r="C11" s="53">
        <f>'Balance Sheet'!C10</f>
        <v>175121</v>
      </c>
      <c r="D11" s="53">
        <f>'Balance Sheet'!D10</f>
        <v>213520</v>
      </c>
      <c r="E11" s="53">
        <f>'Balance Sheet'!E10</f>
        <v>471551</v>
      </c>
      <c r="F11" s="53">
        <f>'Balance Sheet'!F10</f>
        <v>385054</v>
      </c>
      <c r="G11" s="53">
        <f>'Balance Sheet'!G10</f>
        <v>356254</v>
      </c>
      <c r="H11" s="53">
        <f>'Balance Sheet'!H10</f>
        <v>368687</v>
      </c>
      <c r="I11" s="53">
        <f>'Balance Sheet'!I10</f>
        <v>359309.27609876706</v>
      </c>
      <c r="J11" s="53">
        <f>'Balance Sheet'!J10</f>
        <v>361153.44178091257</v>
      </c>
      <c r="K11" s="53">
        <f>'Balance Sheet'!K10</f>
        <v>367493.3024417155</v>
      </c>
      <c r="L11" s="53">
        <f>'Balance Sheet'!L10</f>
        <v>378500.17501240881</v>
      </c>
      <c r="M11" s="53">
        <f>'Balance Sheet'!M10</f>
        <v>391872.92016633996</v>
      </c>
    </row>
    <row r="12" spans="1:13" ht="15.75" customHeight="1" x14ac:dyDescent="0.2">
      <c r="A12" s="22" t="s">
        <v>62</v>
      </c>
      <c r="C12" s="53">
        <f>'Balance Sheet'!C11</f>
        <v>19398</v>
      </c>
      <c r="D12" s="53">
        <f>'Balance Sheet'!D11</f>
        <v>22670</v>
      </c>
      <c r="E12" s="53">
        <f>'Balance Sheet'!E11</f>
        <v>33607</v>
      </c>
      <c r="F12" s="53">
        <f>'Balance Sheet'!F11</f>
        <v>45131</v>
      </c>
      <c r="G12" s="53">
        <f>'Balance Sheet'!G11</f>
        <v>51623</v>
      </c>
      <c r="H12" s="53">
        <f>'Balance Sheet'!H11</f>
        <v>53787</v>
      </c>
      <c r="I12" s="53">
        <f>'Balance Sheet'!I11</f>
        <v>48002.886359999997</v>
      </c>
      <c r="J12" s="53">
        <f>'Balance Sheet'!J11</f>
        <v>48482.915223600001</v>
      </c>
      <c r="K12" s="53">
        <f>'Balance Sheet'!K11</f>
        <v>49694.988104189993</v>
      </c>
      <c r="L12" s="53">
        <f>'Balance Sheet'!L11</f>
        <v>51434.312687836646</v>
      </c>
      <c r="M12" s="53">
        <f>'Balance Sheet'!M11</f>
        <v>53645.988133413623</v>
      </c>
    </row>
    <row r="13" spans="1:13" ht="15.75" customHeight="1" x14ac:dyDescent="0.2">
      <c r="A13" s="28" t="s">
        <v>63</v>
      </c>
      <c r="C13" s="29">
        <f t="shared" ref="C13:M13" si="0">SUM(C10:C12)</f>
        <v>357039</v>
      </c>
      <c r="D13" s="29">
        <f t="shared" si="0"/>
        <v>453372</v>
      </c>
      <c r="E13" s="29">
        <f t="shared" si="0"/>
        <v>834346</v>
      </c>
      <c r="F13" s="29">
        <f t="shared" si="0"/>
        <v>761416</v>
      </c>
      <c r="G13" s="29">
        <f t="shared" si="0"/>
        <v>691784</v>
      </c>
      <c r="H13" s="29">
        <f t="shared" si="0"/>
        <v>755529</v>
      </c>
      <c r="I13" s="29">
        <f t="shared" si="0"/>
        <v>725139.49223958899</v>
      </c>
      <c r="J13" s="29">
        <f t="shared" si="0"/>
        <v>730641.96008314274</v>
      </c>
      <c r="K13" s="29">
        <f t="shared" si="0"/>
        <v>746219.03370150132</v>
      </c>
      <c r="L13" s="29">
        <f t="shared" si="0"/>
        <v>770481.30686628725</v>
      </c>
      <c r="M13" s="29">
        <f t="shared" si="0"/>
        <v>800709.24068993505</v>
      </c>
    </row>
    <row r="14" spans="1:13" ht="15.75" customHeight="1" x14ac:dyDescent="0.2"/>
    <row r="15" spans="1:13" ht="15.75" customHeight="1" x14ac:dyDescent="0.2">
      <c r="A15" s="9" t="s">
        <v>71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15.75" customHeight="1" x14ac:dyDescent="0.2">
      <c r="A16" s="22" t="s">
        <v>72</v>
      </c>
      <c r="C16" s="53">
        <f>'Balance Sheet'!C24</f>
        <v>136550</v>
      </c>
      <c r="D16" s="53">
        <f>'Balance Sheet'!D24</f>
        <v>198898</v>
      </c>
      <c r="E16" s="53">
        <f>'Balance Sheet'!E24</f>
        <v>357809</v>
      </c>
      <c r="F16" s="53">
        <f>'Balance Sheet'!F24</f>
        <v>350698</v>
      </c>
      <c r="G16" s="53">
        <f>'Balance Sheet'!G24</f>
        <v>390919</v>
      </c>
      <c r="H16" s="53">
        <f>'Balance Sheet'!H24</f>
        <v>336466</v>
      </c>
      <c r="I16" s="53">
        <f>'Balance Sheet'!I24</f>
        <v>350212.83872917807</v>
      </c>
      <c r="J16" s="53">
        <f>'Balance Sheet'!J24</f>
        <v>352010.31667253503</v>
      </c>
      <c r="K16" s="53">
        <f>'Balance Sheet'!K24</f>
        <v>358189.67453179864</v>
      </c>
      <c r="L16" s="53">
        <f>'Balance Sheet'!L24</f>
        <v>368917.89210070227</v>
      </c>
      <c r="M16" s="53">
        <f>'Balance Sheet'!M24</f>
        <v>381952.08674440725</v>
      </c>
    </row>
    <row r="17" spans="1:13" ht="15.75" customHeight="1" x14ac:dyDescent="0.2">
      <c r="A17" s="22" t="s">
        <v>74</v>
      </c>
      <c r="C17" s="53">
        <f>'Balance Sheet'!C25</f>
        <v>40164</v>
      </c>
      <c r="D17" s="53">
        <f>'Balance Sheet'!D25</f>
        <v>57057</v>
      </c>
      <c r="E17" s="53">
        <f>'Balance Sheet'!E25</f>
        <v>98571</v>
      </c>
      <c r="F17" s="53">
        <f>'Balance Sheet'!F25</f>
        <v>103255</v>
      </c>
      <c r="G17" s="53">
        <f>'Balance Sheet'!G25</f>
        <v>103435</v>
      </c>
      <c r="H17" s="53">
        <f>'Balance Sheet'!H25</f>
        <v>93051</v>
      </c>
      <c r="I17" s="53">
        <f>'Balance Sheet'!I25</f>
        <v>100006.01325</v>
      </c>
      <c r="J17" s="53">
        <f>'Balance Sheet'!J25</f>
        <v>101006.07338250001</v>
      </c>
      <c r="K17" s="53">
        <f>'Balance Sheet'!K25</f>
        <v>103531.2252170625</v>
      </c>
      <c r="L17" s="53">
        <f>'Balance Sheet'!L25</f>
        <v>107154.81809965969</v>
      </c>
      <c r="M17" s="53">
        <f>'Balance Sheet'!M25</f>
        <v>111762.47527794505</v>
      </c>
    </row>
    <row r="18" spans="1:13" ht="15.75" customHeight="1" x14ac:dyDescent="0.2">
      <c r="A18" s="22" t="s">
        <v>78</v>
      </c>
      <c r="C18" s="53">
        <f>'Balance Sheet'!C28</f>
        <v>18936</v>
      </c>
      <c r="D18" s="53">
        <f>'Balance Sheet'!D28</f>
        <v>26411</v>
      </c>
      <c r="E18" s="53">
        <f>'Balance Sheet'!E28</f>
        <v>47602</v>
      </c>
      <c r="F18" s="53">
        <f>'Balance Sheet'!F28</f>
        <v>88503</v>
      </c>
      <c r="G18" s="53">
        <f>'Balance Sheet'!G28</f>
        <v>96038</v>
      </c>
      <c r="H18" s="53">
        <f>'Balance Sheet'!H28</f>
        <v>96598</v>
      </c>
      <c r="I18" s="53">
        <f>'Balance Sheet'!I28</f>
        <v>92005.532189999998</v>
      </c>
      <c r="J18" s="53">
        <f>'Balance Sheet'!J28</f>
        <v>92925.587511899997</v>
      </c>
      <c r="K18" s="53">
        <f>'Balance Sheet'!K28</f>
        <v>95248.727199697489</v>
      </c>
      <c r="L18" s="53">
        <f>'Balance Sheet'!L28</f>
        <v>98582.432651686904</v>
      </c>
      <c r="M18" s="53">
        <f>'Balance Sheet'!M28</f>
        <v>102821.47725570944</v>
      </c>
    </row>
    <row r="19" spans="1:13" ht="15.75" customHeight="1" x14ac:dyDescent="0.2">
      <c r="A19" s="28" t="s">
        <v>79</v>
      </c>
      <c r="C19" s="29">
        <f t="shared" ref="C19:M19" si="1">SUM(C16:C18)</f>
        <v>195650</v>
      </c>
      <c r="D19" s="29">
        <f t="shared" si="1"/>
        <v>282366</v>
      </c>
      <c r="E19" s="29">
        <f t="shared" si="1"/>
        <v>503982</v>
      </c>
      <c r="F19" s="29">
        <f t="shared" si="1"/>
        <v>542456</v>
      </c>
      <c r="G19" s="29">
        <f t="shared" si="1"/>
        <v>590392</v>
      </c>
      <c r="H19" s="29">
        <f t="shared" si="1"/>
        <v>526115</v>
      </c>
      <c r="I19" s="29">
        <f t="shared" si="1"/>
        <v>542224.38416917808</v>
      </c>
      <c r="J19" s="29">
        <f t="shared" si="1"/>
        <v>545941.97756693501</v>
      </c>
      <c r="K19" s="29">
        <f t="shared" si="1"/>
        <v>556969.62694855861</v>
      </c>
      <c r="L19" s="29">
        <f t="shared" si="1"/>
        <v>574655.14285204886</v>
      </c>
      <c r="M19" s="29">
        <f t="shared" si="1"/>
        <v>596536.03927806171</v>
      </c>
    </row>
    <row r="20" spans="1:13" ht="15.75" customHeight="1" x14ac:dyDescent="0.2"/>
    <row r="21" spans="1:13" ht="15.75" customHeight="1" x14ac:dyDescent="0.2">
      <c r="A21" s="28" t="s">
        <v>214</v>
      </c>
      <c r="C21" s="29">
        <f t="shared" ref="C21:M21" si="2">C13-C19</f>
        <v>161389</v>
      </c>
      <c r="D21" s="29">
        <f t="shared" si="2"/>
        <v>171006</v>
      </c>
      <c r="E21" s="29">
        <f t="shared" si="2"/>
        <v>330364</v>
      </c>
      <c r="F21" s="29">
        <f t="shared" si="2"/>
        <v>218960</v>
      </c>
      <c r="G21" s="29">
        <f t="shared" si="2"/>
        <v>101392</v>
      </c>
      <c r="H21" s="29">
        <f t="shared" si="2"/>
        <v>229414</v>
      </c>
      <c r="I21" s="29">
        <f t="shared" si="2"/>
        <v>182915.1080704109</v>
      </c>
      <c r="J21" s="29">
        <f t="shared" si="2"/>
        <v>184699.98251620773</v>
      </c>
      <c r="K21" s="29">
        <f t="shared" si="2"/>
        <v>189249.40675294271</v>
      </c>
      <c r="L21" s="29">
        <f t="shared" si="2"/>
        <v>195826.1640142384</v>
      </c>
      <c r="M21" s="29">
        <f t="shared" si="2"/>
        <v>204173.20141187334</v>
      </c>
    </row>
    <row r="22" spans="1:13" ht="15.75" customHeight="1" x14ac:dyDescent="0.2">
      <c r="A22" s="22" t="s">
        <v>215</v>
      </c>
      <c r="C22" s="27">
        <f t="shared" ref="C22:M22" si="3">(C13-C19)/C6</f>
        <v>0.11644639673408368</v>
      </c>
      <c r="D22" s="27">
        <f t="shared" si="3"/>
        <v>7.3919260522102376E-2</v>
      </c>
      <c r="E22" s="27">
        <f t="shared" si="3"/>
        <v>9.2929787326810093E-2</v>
      </c>
      <c r="F22" s="27">
        <f t="shared" si="3"/>
        <v>5.5260177869328457E-2</v>
      </c>
      <c r="G22" s="27">
        <f t="shared" si="3"/>
        <v>2.471704791780226E-2</v>
      </c>
      <c r="H22" s="27">
        <f t="shared" si="3"/>
        <v>5.6776550884053964E-2</v>
      </c>
      <c r="I22" s="27">
        <f t="shared" si="3"/>
        <v>4.5726027397260262E-2</v>
      </c>
      <c r="J22" s="27">
        <f t="shared" si="3"/>
        <v>4.5715068493150698E-2</v>
      </c>
      <c r="K22" s="27">
        <f t="shared" si="3"/>
        <v>4.5698630136986301E-2</v>
      </c>
      <c r="L22" s="27">
        <f t="shared" si="3"/>
        <v>4.5687671232876724E-2</v>
      </c>
      <c r="M22" s="27">
        <f t="shared" si="3"/>
        <v>4.5671232876712334E-2</v>
      </c>
    </row>
    <row r="23" spans="1:13" ht="15.75" customHeight="1" x14ac:dyDescent="0.2"/>
    <row r="24" spans="1:13" ht="15.75" customHeight="1" x14ac:dyDescent="0.2">
      <c r="A24" s="28" t="s">
        <v>216</v>
      </c>
      <c r="C24" s="67"/>
      <c r="D24" s="29">
        <f t="shared" ref="D24:M24" si="4">D21-C21</f>
        <v>9617</v>
      </c>
      <c r="E24" s="29">
        <f t="shared" si="4"/>
        <v>159358</v>
      </c>
      <c r="F24" s="29">
        <f t="shared" si="4"/>
        <v>-111404</v>
      </c>
      <c r="G24" s="29">
        <f t="shared" si="4"/>
        <v>-117568</v>
      </c>
      <c r="H24" s="29">
        <f t="shared" si="4"/>
        <v>128022</v>
      </c>
      <c r="I24" s="29">
        <f t="shared" si="4"/>
        <v>-46498.891929589096</v>
      </c>
      <c r="J24" s="29">
        <f t="shared" si="4"/>
        <v>1784.8744457968278</v>
      </c>
      <c r="K24" s="29">
        <f t="shared" si="4"/>
        <v>4549.4242367349798</v>
      </c>
      <c r="L24" s="29">
        <f t="shared" si="4"/>
        <v>6576.7572612956865</v>
      </c>
      <c r="M24" s="29">
        <f t="shared" si="4"/>
        <v>8347.0373976349365</v>
      </c>
    </row>
    <row r="25" spans="1:13" ht="15.75" customHeight="1" x14ac:dyDescent="0.2"/>
    <row r="26" spans="1:13" ht="15.75" customHeight="1" x14ac:dyDescent="0.2">
      <c r="A26" s="9" t="s">
        <v>217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ht="15.75" customHeight="1" x14ac:dyDescent="0.2">
      <c r="A27" s="22" t="s">
        <v>218</v>
      </c>
      <c r="C27" s="97">
        <f t="shared" ref="C27:H28" si="5">(C10/C6)*365</f>
        <v>42.800791658579563</v>
      </c>
      <c r="D27" s="97">
        <f t="shared" si="5"/>
        <v>34.265964271017403</v>
      </c>
      <c r="E27" s="97">
        <f t="shared" si="5"/>
        <v>33.798629248787265</v>
      </c>
      <c r="F27" s="97">
        <f t="shared" si="5"/>
        <v>30.512046269546808</v>
      </c>
      <c r="G27" s="97">
        <f t="shared" si="5"/>
        <v>25.2616593712306</v>
      </c>
      <c r="H27" s="97">
        <f t="shared" si="5"/>
        <v>30.085546943348426</v>
      </c>
      <c r="I27" s="98">
        <f>'Assumption 2'!D6</f>
        <v>29</v>
      </c>
      <c r="J27" s="98">
        <f>'Assumption 2'!E6</f>
        <v>29</v>
      </c>
      <c r="K27" s="98">
        <f>'Assumption 2'!F6</f>
        <v>29</v>
      </c>
      <c r="L27" s="98">
        <f>'Assumption 2'!G6</f>
        <v>29</v>
      </c>
      <c r="M27" s="98">
        <f>'Assumption 2'!H6</f>
        <v>29</v>
      </c>
    </row>
    <row r="28" spans="1:13" ht="15.75" customHeight="1" x14ac:dyDescent="0.2">
      <c r="A28" s="22" t="s">
        <v>219</v>
      </c>
      <c r="C28" s="97">
        <f t="shared" si="5"/>
        <v>100.50135769799827</v>
      </c>
      <c r="D28" s="97">
        <f t="shared" si="5"/>
        <v>87.253861414515967</v>
      </c>
      <c r="E28" s="97">
        <f t="shared" si="5"/>
        <v>101.56122636237735</v>
      </c>
      <c r="F28" s="97">
        <f t="shared" si="5"/>
        <v>80.204155935758934</v>
      </c>
      <c r="G28" s="97">
        <f t="shared" si="5"/>
        <v>76.858297130360256</v>
      </c>
      <c r="H28" s="97">
        <f t="shared" si="5"/>
        <v>79.930740345641937</v>
      </c>
      <c r="I28" s="98">
        <f>'Assumption 2'!D11</f>
        <v>79</v>
      </c>
      <c r="J28" s="98">
        <f>'Assumption 2'!E11</f>
        <v>79</v>
      </c>
      <c r="K28" s="98">
        <f>'Assumption 2'!F11</f>
        <v>79</v>
      </c>
      <c r="L28" s="98">
        <f>'Assumption 2'!G11</f>
        <v>79</v>
      </c>
      <c r="M28" s="98">
        <f>'Assumption 2'!H11</f>
        <v>79</v>
      </c>
    </row>
    <row r="29" spans="1:13" ht="15.75" customHeight="1" x14ac:dyDescent="0.2">
      <c r="A29" s="22" t="s">
        <v>220</v>
      </c>
      <c r="C29" s="97">
        <f t="shared" ref="C29:H29" si="6">(C16/C7)*365</f>
        <v>78.365589470489908</v>
      </c>
      <c r="D29" s="97">
        <f t="shared" si="6"/>
        <v>81.278655524655292</v>
      </c>
      <c r="E29" s="97">
        <f t="shared" si="6"/>
        <v>77.063818852034842</v>
      </c>
      <c r="F29" s="97">
        <f t="shared" si="6"/>
        <v>73.048032427552471</v>
      </c>
      <c r="G29" s="97">
        <f t="shared" si="6"/>
        <v>84.336929987883082</v>
      </c>
      <c r="H29" s="97">
        <f t="shared" si="6"/>
        <v>72.94528009161364</v>
      </c>
      <c r="I29" s="98">
        <f>'Assumption 2'!D16</f>
        <v>77</v>
      </c>
      <c r="J29" s="98">
        <f>'Assumption 2'!E16</f>
        <v>77</v>
      </c>
      <c r="K29" s="98">
        <f>'Assumption 2'!F16</f>
        <v>77</v>
      </c>
      <c r="L29" s="98">
        <f>'Assumption 2'!G16</f>
        <v>77</v>
      </c>
      <c r="M29" s="98">
        <f>'Assumption 2'!H16</f>
        <v>77</v>
      </c>
    </row>
    <row r="30" spans="1:13" ht="15.75" customHeight="1" x14ac:dyDescent="0.2">
      <c r="A30" s="22" t="s">
        <v>221</v>
      </c>
      <c r="C30" s="27">
        <f t="shared" ref="C30:M30" si="7">C12/C6</f>
        <v>1.3996165809613759E-2</v>
      </c>
      <c r="D30" s="27">
        <f t="shared" si="7"/>
        <v>9.7993616366446844E-3</v>
      </c>
      <c r="E30" s="27">
        <f t="shared" si="7"/>
        <v>9.4534857390396864E-3</v>
      </c>
      <c r="F30" s="27">
        <f t="shared" si="7"/>
        <v>1.1389966603126885E-2</v>
      </c>
      <c r="G30" s="27">
        <f t="shared" si="7"/>
        <v>1.2584505332380327E-2</v>
      </c>
      <c r="H30" s="27">
        <f t="shared" si="7"/>
        <v>1.3311482047305791E-2</v>
      </c>
      <c r="I30" s="27">
        <f t="shared" si="7"/>
        <v>1.2E-2</v>
      </c>
      <c r="J30" s="27">
        <f t="shared" si="7"/>
        <v>1.2E-2</v>
      </c>
      <c r="K30" s="27">
        <f t="shared" si="7"/>
        <v>1.2E-2</v>
      </c>
      <c r="L30" s="27">
        <f t="shared" si="7"/>
        <v>1.2E-2</v>
      </c>
      <c r="M30" s="27">
        <f t="shared" si="7"/>
        <v>1.2E-2</v>
      </c>
    </row>
    <row r="31" spans="1:13" ht="15.75" customHeight="1" x14ac:dyDescent="0.2">
      <c r="A31" s="22" t="s">
        <v>222</v>
      </c>
      <c r="C31" s="27">
        <f t="shared" ref="C31:M31" si="8">C17/C6</f>
        <v>2.897937950187272E-2</v>
      </c>
      <c r="D31" s="27">
        <f t="shared" si="8"/>
        <v>2.4663527873931883E-2</v>
      </c>
      <c r="E31" s="27">
        <f t="shared" si="8"/>
        <v>2.7727543154190525E-2</v>
      </c>
      <c r="F31" s="27">
        <f t="shared" si="8"/>
        <v>2.6059050355761372E-2</v>
      </c>
      <c r="G31" s="27">
        <f t="shared" si="8"/>
        <v>2.5215084537023404E-2</v>
      </c>
      <c r="H31" s="27">
        <f t="shared" si="8"/>
        <v>2.3028737724428785E-2</v>
      </c>
      <c r="I31" s="27">
        <f t="shared" si="8"/>
        <v>2.5000000000000001E-2</v>
      </c>
      <c r="J31" s="27">
        <f t="shared" si="8"/>
        <v>2.5000000000000001E-2</v>
      </c>
      <c r="K31" s="27">
        <f t="shared" si="8"/>
        <v>2.5000000000000001E-2</v>
      </c>
      <c r="L31" s="27">
        <f t="shared" si="8"/>
        <v>2.5000000000000001E-2</v>
      </c>
      <c r="M31" s="27">
        <f t="shared" si="8"/>
        <v>2.5000000000000001E-2</v>
      </c>
    </row>
    <row r="32" spans="1:13" ht="15.75" customHeight="1" x14ac:dyDescent="0.2">
      <c r="A32" s="22" t="s">
        <v>223</v>
      </c>
      <c r="C32" s="27">
        <f t="shared" ref="C32:M32" si="9">C18/C6</f>
        <v>1.3662820691352003E-2</v>
      </c>
      <c r="D32" s="27">
        <f t="shared" si="9"/>
        <v>1.1416450824235676E-2</v>
      </c>
      <c r="E32" s="27">
        <f t="shared" si="9"/>
        <v>1.3390211210455178E-2</v>
      </c>
      <c r="F32" s="27">
        <f t="shared" si="9"/>
        <v>2.2336004393355757E-2</v>
      </c>
      <c r="G32" s="27">
        <f t="shared" si="9"/>
        <v>2.3411865314126298E-2</v>
      </c>
      <c r="H32" s="27">
        <f t="shared" si="9"/>
        <v>2.3906567438333515E-2</v>
      </c>
      <c r="I32" s="27">
        <f t="shared" si="9"/>
        <v>2.3E-2</v>
      </c>
      <c r="J32" s="27">
        <f t="shared" si="9"/>
        <v>2.3E-2</v>
      </c>
      <c r="K32" s="27">
        <f t="shared" si="9"/>
        <v>2.3E-2</v>
      </c>
      <c r="L32" s="27">
        <f t="shared" si="9"/>
        <v>2.3E-2</v>
      </c>
      <c r="M32" s="27">
        <f t="shared" si="9"/>
        <v>2.3E-2</v>
      </c>
    </row>
  </sheetData>
  <mergeCells count="7">
    <mergeCell ref="A15:M15"/>
    <mergeCell ref="A26:M26"/>
    <mergeCell ref="A1:M1"/>
    <mergeCell ref="A2:M2"/>
    <mergeCell ref="C4:G4"/>
    <mergeCell ref="I4:M4"/>
    <mergeCell ref="A9:M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showGridLines="0" topLeftCell="A2" zoomScaleNormal="100" workbookViewId="0">
      <selection activeCell="C19" sqref="C19"/>
    </sheetView>
  </sheetViews>
  <sheetFormatPr baseColWidth="10" defaultColWidth="8.6640625" defaultRowHeight="15" x14ac:dyDescent="0.2"/>
  <cols>
    <col min="1" max="1" width="30" customWidth="1"/>
    <col min="2" max="2" width="2" customWidth="1"/>
    <col min="3" max="3" width="19.33203125" customWidth="1"/>
    <col min="4" max="4" width="14" customWidth="1"/>
    <col min="5" max="5" width="15.6640625" customWidth="1"/>
    <col min="6" max="8" width="14" customWidth="1"/>
  </cols>
  <sheetData>
    <row r="1" spans="1:17" ht="25.5" customHeight="1" x14ac:dyDescent="0.2">
      <c r="A1" s="14" t="s">
        <v>14</v>
      </c>
      <c r="B1" s="14"/>
      <c r="C1" s="14"/>
      <c r="D1" s="14"/>
      <c r="E1" s="14"/>
      <c r="F1" s="14"/>
      <c r="G1" s="14"/>
      <c r="H1" s="14"/>
    </row>
    <row r="2" spans="1:17" ht="15" customHeight="1" x14ac:dyDescent="0.2">
      <c r="A2" s="13" t="s">
        <v>173</v>
      </c>
      <c r="B2" s="13"/>
      <c r="C2" s="13"/>
      <c r="D2" s="13"/>
      <c r="E2" s="13"/>
      <c r="F2" s="13"/>
      <c r="G2" s="13"/>
      <c r="H2" s="13"/>
    </row>
    <row r="4" spans="1:17" ht="15.75" customHeight="1" x14ac:dyDescent="0.2">
      <c r="A4" s="9" t="s">
        <v>174</v>
      </c>
      <c r="B4" s="9"/>
      <c r="C4" s="9"/>
      <c r="D4" s="9"/>
      <c r="E4" s="9"/>
      <c r="F4" s="9"/>
      <c r="G4" s="9"/>
      <c r="H4" s="9"/>
    </row>
    <row r="5" spans="1:17" ht="15.75" customHeight="1" x14ac:dyDescent="0.2">
      <c r="A5" s="22" t="s">
        <v>175</v>
      </c>
      <c r="C5" s="78">
        <f>1613849/5613849</f>
        <v>0.28747638206870191</v>
      </c>
    </row>
    <row r="6" spans="1:17" ht="15.75" customHeight="1" x14ac:dyDescent="0.2">
      <c r="A6" s="22" t="s">
        <v>176</v>
      </c>
      <c r="C6" s="78">
        <f>4000000/5613849</f>
        <v>0.71252361793129815</v>
      </c>
    </row>
    <row r="7" spans="1:17" ht="15.75" customHeight="1" x14ac:dyDescent="0.2"/>
    <row r="8" spans="1:17" ht="15.75" customHeight="1" x14ac:dyDescent="0.2">
      <c r="A8" s="9" t="s">
        <v>177</v>
      </c>
      <c r="B8" s="9"/>
      <c r="C8" s="9"/>
      <c r="D8" s="9"/>
      <c r="E8" s="9"/>
      <c r="F8" s="9"/>
      <c r="G8" s="9"/>
      <c r="H8" s="9"/>
    </row>
    <row r="9" spans="1:17" ht="15.75" customHeight="1" x14ac:dyDescent="0.2">
      <c r="A9" s="22" t="s">
        <v>178</v>
      </c>
      <c r="C9" s="79">
        <f>88287/1613849</f>
        <v>5.4705861576888545E-2</v>
      </c>
      <c r="Q9">
        <f>C26 / (1 + (1 - G26) * F26)</f>
        <v>1.5364029655549902</v>
      </c>
    </row>
    <row r="10" spans="1:17" ht="15.75" customHeight="1" x14ac:dyDescent="0.2">
      <c r="A10" s="22" t="s">
        <v>179</v>
      </c>
      <c r="C10" s="80">
        <v>0.215</v>
      </c>
    </row>
    <row r="11" spans="1:17" ht="15.75" customHeight="1" x14ac:dyDescent="0.2">
      <c r="A11" s="28" t="s">
        <v>180</v>
      </c>
      <c r="C11" s="79">
        <f>C9*(1-C10)</f>
        <v>4.2944101337857511E-2</v>
      </c>
    </row>
    <row r="12" spans="1:17" ht="15.75" customHeight="1" x14ac:dyDescent="0.2">
      <c r="C12" s="81"/>
    </row>
    <row r="13" spans="1:17" ht="15.75" customHeight="1" x14ac:dyDescent="0.2">
      <c r="A13" s="9" t="s">
        <v>181</v>
      </c>
      <c r="B13" s="9"/>
      <c r="C13" s="9"/>
      <c r="D13" s="9"/>
      <c r="E13" s="9"/>
      <c r="F13" s="9"/>
      <c r="G13" s="9"/>
      <c r="H13" s="9"/>
    </row>
    <row r="14" spans="1:17" ht="15.75" customHeight="1" x14ac:dyDescent="0.2">
      <c r="A14" s="22" t="s">
        <v>182</v>
      </c>
      <c r="C14" s="80">
        <v>4.4400000000000002E-2</v>
      </c>
    </row>
    <row r="15" spans="1:17" ht="15.75" customHeight="1" x14ac:dyDescent="0.2">
      <c r="A15" s="22" t="s">
        <v>183</v>
      </c>
      <c r="C15" s="80">
        <v>4.4600000000000001E-2</v>
      </c>
    </row>
    <row r="16" spans="1:17" ht="15.75" customHeight="1" x14ac:dyDescent="0.2">
      <c r="A16" s="22" t="s">
        <v>184</v>
      </c>
      <c r="C16" s="82">
        <f>H33</f>
        <v>1.4496031673862082</v>
      </c>
    </row>
    <row r="17" spans="1:8" ht="15.75" customHeight="1" x14ac:dyDescent="0.2">
      <c r="A17" s="22" t="s">
        <v>185</v>
      </c>
      <c r="C17" s="82">
        <f>C16*(1+(1-C10)*C5/C6)</f>
        <v>1.9087183894700097</v>
      </c>
      <c r="E17" s="83"/>
    </row>
    <row r="18" spans="1:8" ht="15.75" customHeight="1" x14ac:dyDescent="0.2">
      <c r="A18" s="22" t="s">
        <v>186</v>
      </c>
      <c r="C18" s="84">
        <v>2.8015999999999999E-2</v>
      </c>
      <c r="D18" t="s">
        <v>187</v>
      </c>
    </row>
    <row r="19" spans="1:8" ht="15.75" customHeight="1" x14ac:dyDescent="0.2">
      <c r="A19" s="28" t="s">
        <v>188</v>
      </c>
      <c r="C19" s="85">
        <f>C14+C17*C15+C18</f>
        <v>0.15754484017036241</v>
      </c>
    </row>
    <row r="20" spans="1:8" ht="15.75" customHeight="1" x14ac:dyDescent="0.2"/>
    <row r="21" spans="1:8" ht="15.75" customHeight="1" x14ac:dyDescent="0.2">
      <c r="A21" s="9" t="s">
        <v>189</v>
      </c>
      <c r="B21" s="9"/>
      <c r="C21" s="9"/>
      <c r="D21" s="9"/>
      <c r="E21" s="9"/>
      <c r="F21" s="9"/>
      <c r="G21" s="9"/>
      <c r="H21" s="9"/>
    </row>
    <row r="22" spans="1:8" ht="15.75" customHeight="1" x14ac:dyDescent="0.2">
      <c r="A22" s="28" t="s">
        <v>190</v>
      </c>
      <c r="C22" s="85">
        <f>C6*C19+C5*C11</f>
        <v>0.12459983438839371</v>
      </c>
    </row>
    <row r="23" spans="1:8" ht="15.75" customHeight="1" x14ac:dyDescent="0.2"/>
    <row r="24" spans="1:8" ht="15.75" customHeight="1" x14ac:dyDescent="0.2">
      <c r="A24" s="9" t="s">
        <v>191</v>
      </c>
      <c r="B24" s="9"/>
      <c r="C24" s="9"/>
      <c r="D24" s="9"/>
      <c r="E24" s="9"/>
      <c r="F24" s="9"/>
      <c r="G24" s="9"/>
      <c r="H24" s="9"/>
    </row>
    <row r="25" spans="1:8" ht="36" customHeight="1" x14ac:dyDescent="0.2">
      <c r="A25" s="86" t="s">
        <v>192</v>
      </c>
      <c r="B25" s="86" t="s">
        <v>193</v>
      </c>
      <c r="C25" s="86" t="s">
        <v>194</v>
      </c>
      <c r="D25" s="86" t="s">
        <v>195</v>
      </c>
      <c r="E25" s="86" t="s">
        <v>196</v>
      </c>
      <c r="F25" s="86" t="s">
        <v>197</v>
      </c>
      <c r="G25" s="86" t="s">
        <v>198</v>
      </c>
      <c r="H25" s="86" t="s">
        <v>199</v>
      </c>
    </row>
    <row r="26" spans="1:8" ht="15" customHeight="1" x14ac:dyDescent="0.2">
      <c r="A26" s="87" t="s">
        <v>200</v>
      </c>
      <c r="B26" s="70"/>
      <c r="C26" s="88">
        <v>1.78</v>
      </c>
      <c r="D26" s="68">
        <f>'Comparable Companies '!C5</f>
        <v>2410</v>
      </c>
      <c r="E26" s="72">
        <v>486.14</v>
      </c>
      <c r="F26" s="89">
        <f t="shared" ref="F26:F31" si="0">E26/D26</f>
        <v>0.20171784232365145</v>
      </c>
      <c r="G26" s="90">
        <v>0.214</v>
      </c>
      <c r="H26" s="82">
        <f t="shared" ref="H26:H31" si="1">C26 / (1 + (1 - G26) * F26)</f>
        <v>1.5364029655549902</v>
      </c>
    </row>
    <row r="27" spans="1:8" ht="15" customHeight="1" x14ac:dyDescent="0.2">
      <c r="A27" s="87" t="s">
        <v>201</v>
      </c>
      <c r="B27" s="70"/>
      <c r="C27" s="88">
        <v>2.71</v>
      </c>
      <c r="D27" s="68">
        <f>'Comparable Companies '!C6</f>
        <v>1290</v>
      </c>
      <c r="E27" s="70">
        <v>762</v>
      </c>
      <c r="F27" s="89">
        <f t="shared" si="0"/>
        <v>0.59069767441860466</v>
      </c>
      <c r="G27" s="90">
        <v>0.109</v>
      </c>
      <c r="H27" s="82">
        <f t="shared" si="1"/>
        <v>1.775522082417867</v>
      </c>
    </row>
    <row r="28" spans="1:8" ht="15" customHeight="1" x14ac:dyDescent="0.2">
      <c r="A28" s="87" t="s">
        <v>202</v>
      </c>
      <c r="B28" s="70"/>
      <c r="C28" s="88">
        <v>0.78</v>
      </c>
      <c r="D28" s="68">
        <f>'Comparable Companies '!C7</f>
        <v>2860</v>
      </c>
      <c r="E28" s="72">
        <v>477.69</v>
      </c>
      <c r="F28" s="89">
        <f t="shared" si="0"/>
        <v>0.16702447552447552</v>
      </c>
      <c r="G28" s="90">
        <v>0.22800000000000001</v>
      </c>
      <c r="H28" s="82">
        <f t="shared" si="1"/>
        <v>0.6909118285628848</v>
      </c>
    </row>
    <row r="29" spans="1:8" ht="15" customHeight="1" x14ac:dyDescent="0.2">
      <c r="A29" s="87" t="s">
        <v>203</v>
      </c>
      <c r="B29" s="70"/>
      <c r="C29" s="88">
        <v>1.39</v>
      </c>
      <c r="D29" s="68">
        <f>'Comparable Companies '!C8</f>
        <v>13350</v>
      </c>
      <c r="E29" s="72">
        <v>342.88</v>
      </c>
      <c r="F29" s="89">
        <f t="shared" si="0"/>
        <v>2.5683895131086144E-2</v>
      </c>
      <c r="G29" s="90">
        <v>0.223</v>
      </c>
      <c r="H29" s="82">
        <f t="shared" si="1"/>
        <v>1.3628033692174262</v>
      </c>
    </row>
    <row r="30" spans="1:8" ht="15" customHeight="1" x14ac:dyDescent="0.2">
      <c r="A30" s="87" t="s">
        <v>204</v>
      </c>
      <c r="B30" s="70"/>
      <c r="C30" s="88">
        <v>2.4500000000000002</v>
      </c>
      <c r="D30" s="68">
        <f>'Comparable Companies '!C9</f>
        <v>10720</v>
      </c>
      <c r="E30" s="72">
        <v>658.53</v>
      </c>
      <c r="F30" s="89">
        <f t="shared" si="0"/>
        <v>6.1430037313432835E-2</v>
      </c>
      <c r="G30" s="90">
        <v>0.19600000000000001</v>
      </c>
      <c r="H30" s="82">
        <f t="shared" si="1"/>
        <v>2.3346902330616439</v>
      </c>
    </row>
    <row r="31" spans="1:8" ht="15" customHeight="1" x14ac:dyDescent="0.2">
      <c r="A31" s="87" t="s">
        <v>205</v>
      </c>
      <c r="B31" s="70"/>
      <c r="C31" s="88">
        <v>1.06</v>
      </c>
      <c r="D31" s="68">
        <f>'Comparable Companies '!C10</f>
        <v>6290</v>
      </c>
      <c r="E31" s="72">
        <v>1536.07</v>
      </c>
      <c r="F31" s="89">
        <f t="shared" si="0"/>
        <v>0.24420826709062002</v>
      </c>
      <c r="G31" s="90">
        <v>0.24199999999999999</v>
      </c>
      <c r="H31" s="82">
        <f t="shared" si="1"/>
        <v>0.89443184130348885</v>
      </c>
    </row>
    <row r="32" spans="1:8" ht="15" customHeight="1" x14ac:dyDescent="0.2">
      <c r="A32" s="46" t="s">
        <v>206</v>
      </c>
      <c r="B32" s="91"/>
      <c r="C32" s="92">
        <f t="shared" ref="C32:H32" si="2">AVERAGE(C26:C31)</f>
        <v>1.6950000000000001</v>
      </c>
      <c r="D32" s="92">
        <f t="shared" si="2"/>
        <v>6153.333333333333</v>
      </c>
      <c r="E32" s="92">
        <f t="shared" si="2"/>
        <v>710.55166666666662</v>
      </c>
      <c r="F32" s="92">
        <f t="shared" si="2"/>
        <v>0.21512703196697844</v>
      </c>
      <c r="G32" s="92">
        <f t="shared" si="2"/>
        <v>0.20199999999999999</v>
      </c>
      <c r="H32" s="92">
        <f t="shared" si="2"/>
        <v>1.4324603866863834</v>
      </c>
    </row>
    <row r="33" spans="1:8" ht="15" customHeight="1" x14ac:dyDescent="0.2">
      <c r="A33" s="46" t="s">
        <v>207</v>
      </c>
      <c r="B33" s="91"/>
      <c r="C33" s="92">
        <f t="shared" ref="C33:H33" si="3">MEDIAN(C26:C31)</f>
        <v>1.585</v>
      </c>
      <c r="D33" s="92">
        <f t="shared" si="3"/>
        <v>4575</v>
      </c>
      <c r="E33" s="92">
        <f t="shared" si="3"/>
        <v>572.33500000000004</v>
      </c>
      <c r="F33" s="92">
        <f t="shared" si="3"/>
        <v>0.18437115892406347</v>
      </c>
      <c r="G33" s="92">
        <f t="shared" si="3"/>
        <v>0.2185</v>
      </c>
      <c r="H33" s="92">
        <f t="shared" si="3"/>
        <v>1.4496031673862082</v>
      </c>
    </row>
    <row r="35" spans="1:8" ht="15.75" customHeight="1" x14ac:dyDescent="0.2">
      <c r="A35" s="9" t="s">
        <v>208</v>
      </c>
      <c r="B35" s="9"/>
      <c r="C35" s="9"/>
      <c r="D35" s="9"/>
      <c r="E35" s="9"/>
      <c r="F35" s="9"/>
      <c r="G35" s="9"/>
      <c r="H35" s="9"/>
    </row>
    <row r="36" spans="1:8" ht="55.5" customHeight="1" x14ac:dyDescent="0.2">
      <c r="A36" s="60" t="s">
        <v>209</v>
      </c>
      <c r="B36" s="74">
        <v>0.03</v>
      </c>
      <c r="C36" s="74">
        <v>3.5000000000000003E-2</v>
      </c>
      <c r="D36" s="74">
        <v>0.04</v>
      </c>
      <c r="E36" s="74">
        <v>4.4999999999999998E-2</v>
      </c>
      <c r="F36" s="74">
        <v>0.05</v>
      </c>
    </row>
    <row r="37" spans="1:8" ht="15" customHeight="1" x14ac:dyDescent="0.2">
      <c r="A37" s="93">
        <v>0.15</v>
      </c>
      <c r="B37" s="94">
        <f>(1-0.15)*$C$19+0.15*B36*(1-$C$10)</f>
        <v>0.13744561414480805</v>
      </c>
      <c r="C37" s="94">
        <f>(1-0.15)*$C$19+0.15*C36*(1-$C$10)</f>
        <v>0.13803436414480805</v>
      </c>
      <c r="D37" s="94">
        <f>(1-0.15)*$C$19+0.15*D36*(1-$C$10)</f>
        <v>0.13862311414480805</v>
      </c>
      <c r="E37" s="94">
        <f>(1-0.15)*$C$19+0.15*E36*(1-$C$10)</f>
        <v>0.13921186414480805</v>
      </c>
      <c r="F37" s="94">
        <f>(1-0.15)*$C$19+0.15*F36*(1-$C$10)</f>
        <v>0.13980061414480804</v>
      </c>
    </row>
    <row r="38" spans="1:8" ht="15" customHeight="1" x14ac:dyDescent="0.2">
      <c r="A38" s="93">
        <v>0.2</v>
      </c>
      <c r="B38" s="94">
        <f>(1-0.2)*$C$19+0.2*B36*(1-$C$10)</f>
        <v>0.13074587213628994</v>
      </c>
      <c r="C38" s="94">
        <f>(1-0.2)*$C$19+0.2*C36*(1-$C$10)</f>
        <v>0.13153087213628994</v>
      </c>
      <c r="D38" s="94">
        <f>(1-0.2)*$C$19+0.2*D36*(1-$C$10)</f>
        <v>0.13231587213628995</v>
      </c>
      <c r="E38" s="94">
        <f>(1-0.2)*$C$19+0.2*E36*(1-$C$10)</f>
        <v>0.13310087213628993</v>
      </c>
      <c r="F38" s="94">
        <f>(1-0.2)*$C$19+0.2*F36*(1-$C$10)</f>
        <v>0.13388587213628994</v>
      </c>
    </row>
    <row r="39" spans="1:8" ht="15" customHeight="1" x14ac:dyDescent="0.2">
      <c r="A39" s="93">
        <v>0.25</v>
      </c>
      <c r="B39" s="94">
        <f>(1-0.25)*$C$19+0.25*B36*(1-$C$10)</f>
        <v>0.12404613012777181</v>
      </c>
      <c r="C39" s="94">
        <f>(1-0.25)*$C$19+0.25*C36*(1-$C$10)</f>
        <v>0.12502738012777181</v>
      </c>
      <c r="D39" s="94">
        <f>(1-0.25)*$C$19+0.25*D36*(1-$C$10)</f>
        <v>0.1260086301277718</v>
      </c>
      <c r="E39" s="94">
        <f>(1-0.25)*$C$19+0.25*E36*(1-$C$10)</f>
        <v>0.12698988012777182</v>
      </c>
      <c r="F39" s="94">
        <f>(1-0.25)*$C$19+0.25*F36*(1-$C$10)</f>
        <v>0.12797113012777181</v>
      </c>
    </row>
    <row r="40" spans="1:8" ht="15" customHeight="1" x14ac:dyDescent="0.2">
      <c r="A40" s="93">
        <v>0.3</v>
      </c>
      <c r="B40" s="94">
        <f>(1-0.3)*$C$19+0.3*B36*(1-$C$10)</f>
        <v>0.11734638811925369</v>
      </c>
      <c r="C40" s="94">
        <f>(1-0.3)*$C$19+0.3*C36*(1-$C$10)</f>
        <v>0.11852388811925368</v>
      </c>
      <c r="D40" s="94">
        <f>(1-0.3)*$C$19+0.3*D36*(1-$C$10)</f>
        <v>0.11970138811925368</v>
      </c>
      <c r="E40" s="94">
        <f>(1-0.3)*$C$19+0.3*E36*(1-$C$10)</f>
        <v>0.12087888811925368</v>
      </c>
      <c r="F40" s="95">
        <f>(1-0.3)*$C$19+0.3*F36*(1-$C$10)</f>
        <v>0.12205638811925368</v>
      </c>
    </row>
    <row r="41" spans="1:8" ht="15" customHeight="1" x14ac:dyDescent="0.2">
      <c r="A41" s="93">
        <v>0.35</v>
      </c>
      <c r="B41" s="94">
        <f>(1-0.35)*$C$19+0.35*B36*(1-$C$10)</f>
        <v>0.11064664611073557</v>
      </c>
      <c r="C41" s="94">
        <f>(1-0.35)*$C$19+0.35*C36*(1-$C$10)</f>
        <v>0.11202039611073558</v>
      </c>
      <c r="D41" s="94">
        <f>(1-0.35)*$C$19+0.35*D36*(1-$C$10)</f>
        <v>0.11339414611073557</v>
      </c>
      <c r="E41" s="94">
        <f>(1-0.35)*$C$19+0.35*E36*(1-$C$10)</f>
        <v>0.11476789611073557</v>
      </c>
      <c r="F41" s="94">
        <f>(1-0.35)*$C$19+0.35*F36*(1-$C$10)</f>
        <v>0.11614164611073557</v>
      </c>
    </row>
    <row r="42" spans="1:8" ht="15" customHeight="1" x14ac:dyDescent="0.2">
      <c r="A42" s="93">
        <v>0.4</v>
      </c>
      <c r="B42" s="94">
        <f>(1-0.4)*$C$19+0.4*B36*(1-$C$10)</f>
        <v>0.10394690410221744</v>
      </c>
      <c r="C42" s="94">
        <f>(1-0.4)*$C$19+0.4*C36*(1-$C$10)</f>
        <v>0.10551690410221744</v>
      </c>
      <c r="D42" s="94">
        <f>(1-0.4)*$C$19+0.4*D36*(1-$C$10)</f>
        <v>0.10708690410221744</v>
      </c>
      <c r="E42" s="94">
        <f>(1-0.4)*$C$19+0.4*E36*(1-$C$10)</f>
        <v>0.10865690410221744</v>
      </c>
      <c r="F42" s="94">
        <f>(1-0.4)*$C$19+0.4*F36*(1-$C$10)</f>
        <v>0.11022690410221744</v>
      </c>
    </row>
    <row r="43" spans="1:8" ht="15" customHeight="1" x14ac:dyDescent="0.2">
      <c r="A43" s="96" t="s">
        <v>210</v>
      </c>
    </row>
  </sheetData>
  <mergeCells count="8">
    <mergeCell ref="A21:H21"/>
    <mergeCell ref="A24:H24"/>
    <mergeCell ref="A35:H35"/>
    <mergeCell ref="A1:H1"/>
    <mergeCell ref="A2:H2"/>
    <mergeCell ref="A4:H4"/>
    <mergeCell ref="A8:H8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0"/>
  <sheetViews>
    <sheetView showGridLines="0" zoomScaleNormal="100" workbookViewId="0">
      <pane xSplit="2" ySplit="6" topLeftCell="C36" activePane="bottomRight" state="frozen"/>
      <selection pane="topRight" activeCell="C1" sqref="C1"/>
      <selection pane="bottomLeft" activeCell="A36" sqref="A36"/>
      <selection pane="bottomRight" activeCell="D49" sqref="D49"/>
    </sheetView>
  </sheetViews>
  <sheetFormatPr baseColWidth="10" defaultColWidth="8.6640625" defaultRowHeight="15" x14ac:dyDescent="0.2"/>
  <cols>
    <col min="1" max="1" width="36" customWidth="1"/>
    <col min="2" max="2" width="2" customWidth="1"/>
    <col min="3" max="13" width="13" customWidth="1"/>
  </cols>
  <sheetData>
    <row r="1" spans="1:13" ht="25.5" customHeight="1" x14ac:dyDescent="0.2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" customHeight="1" x14ac:dyDescent="0.2">
      <c r="A2" s="13" t="s">
        <v>139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5" customHeight="1" x14ac:dyDescent="0.2">
      <c r="A3" s="60" t="s">
        <v>140</v>
      </c>
      <c r="C3" s="61" t="s">
        <v>141</v>
      </c>
    </row>
    <row r="4" spans="1:13" ht="15" customHeight="1" x14ac:dyDescent="0.2">
      <c r="A4" s="60" t="s">
        <v>142</v>
      </c>
      <c r="C4" s="62">
        <v>1</v>
      </c>
    </row>
    <row r="5" spans="1:13" ht="15.75" customHeight="1" x14ac:dyDescent="0.2">
      <c r="A5" s="19" t="s">
        <v>16</v>
      </c>
      <c r="C5" s="12" t="s">
        <v>17</v>
      </c>
      <c r="D5" s="12"/>
      <c r="E5" s="12"/>
      <c r="F5" s="12"/>
      <c r="G5" s="12"/>
      <c r="H5" s="12"/>
      <c r="I5" s="11" t="s">
        <v>18</v>
      </c>
      <c r="J5" s="11"/>
      <c r="K5" s="11"/>
      <c r="L5" s="11"/>
      <c r="M5" s="11"/>
    </row>
    <row r="6" spans="1:13" ht="18" customHeight="1" x14ac:dyDescent="0.2">
      <c r="C6" s="20" t="s">
        <v>19</v>
      </c>
      <c r="D6" s="20" t="s">
        <v>20</v>
      </c>
      <c r="E6" s="20" t="s">
        <v>21</v>
      </c>
      <c r="F6" s="20" t="s">
        <v>22</v>
      </c>
      <c r="G6" s="20">
        <v>2024</v>
      </c>
      <c r="H6" s="20">
        <v>2025</v>
      </c>
      <c r="I6" s="21" t="s">
        <v>24</v>
      </c>
      <c r="J6" s="21" t="s">
        <v>25</v>
      </c>
      <c r="K6" s="21" t="s">
        <v>26</v>
      </c>
      <c r="L6" s="21" t="s">
        <v>27</v>
      </c>
      <c r="M6" s="21" t="s">
        <v>28</v>
      </c>
    </row>
    <row r="7" spans="1:13" ht="15.75" customHeight="1" x14ac:dyDescent="0.2">
      <c r="A7" s="22" t="s">
        <v>29</v>
      </c>
      <c r="C7" s="53">
        <f>'Income Statement'!C6</f>
        <v>1385951</v>
      </c>
      <c r="D7" s="53">
        <f>'Income Statement'!D6</f>
        <v>2313416</v>
      </c>
      <c r="E7" s="53">
        <f>'Income Statement'!E6</f>
        <v>3554985</v>
      </c>
      <c r="F7" s="53">
        <f>'Income Statement'!F6</f>
        <v>3962347</v>
      </c>
      <c r="G7" s="53">
        <f>'Income Statement'!G6</f>
        <v>4102108</v>
      </c>
      <c r="H7" s="53">
        <f>'Income Statement'!H6</f>
        <v>4040647</v>
      </c>
      <c r="I7" s="53">
        <f>'Income Statement'!I6</f>
        <v>4000240.53</v>
      </c>
      <c r="J7" s="53">
        <f>'Income Statement'!J6</f>
        <v>4040242.9353</v>
      </c>
      <c r="K7" s="53">
        <f>'Income Statement'!K6</f>
        <v>4141249.0086824996</v>
      </c>
      <c r="L7" s="53">
        <f>'Income Statement'!L6</f>
        <v>4286192.7239863873</v>
      </c>
      <c r="M7" s="53">
        <f>'Income Statement'!M6</f>
        <v>4470499.011117802</v>
      </c>
    </row>
    <row r="8" spans="1:13" ht="15.75" customHeight="1" x14ac:dyDescent="0.2">
      <c r="A8" s="22" t="s">
        <v>31</v>
      </c>
      <c r="C8" s="26"/>
      <c r="D8" s="27">
        <f t="shared" ref="D8:M8" si="0">(D7/C7)-1</f>
        <v>0.6691903249104767</v>
      </c>
      <c r="E8" s="27">
        <f t="shared" si="0"/>
        <v>0.53668211856406289</v>
      </c>
      <c r="F8" s="27">
        <f t="shared" si="0"/>
        <v>0.11458895044564188</v>
      </c>
      <c r="G8" s="27">
        <f t="shared" si="0"/>
        <v>3.5272276759203525E-2</v>
      </c>
      <c r="H8" s="27">
        <f t="shared" si="0"/>
        <v>-1.4982784461062493E-2</v>
      </c>
      <c r="I8" s="27">
        <f t="shared" si="0"/>
        <v>-1.0000000000000009E-2</v>
      </c>
      <c r="J8" s="27">
        <f t="shared" si="0"/>
        <v>1.0000000000000009E-2</v>
      </c>
      <c r="K8" s="27">
        <f t="shared" si="0"/>
        <v>2.4999999999999911E-2</v>
      </c>
      <c r="L8" s="27">
        <f t="shared" si="0"/>
        <v>3.499999999999992E-2</v>
      </c>
      <c r="M8" s="27">
        <f t="shared" si="0"/>
        <v>4.2999999999999927E-2</v>
      </c>
    </row>
    <row r="9" spans="1:13" ht="15.75" customHeight="1" x14ac:dyDescent="0.2"/>
    <row r="10" spans="1:13" ht="15.75" customHeight="1" x14ac:dyDescent="0.2">
      <c r="A10" s="22" t="s">
        <v>32</v>
      </c>
      <c r="C10" s="53">
        <f>'Income Statement'!C9</f>
        <v>636003</v>
      </c>
      <c r="D10" s="53">
        <f>'Income Statement'!D9</f>
        <v>893196</v>
      </c>
      <c r="E10" s="53">
        <f>'Income Statement'!E9</f>
        <v>1694703</v>
      </c>
      <c r="F10" s="53">
        <f>'Income Statement'!F9</f>
        <v>1752337</v>
      </c>
      <c r="G10" s="53">
        <f>'Income Statement'!G9</f>
        <v>1691850</v>
      </c>
      <c r="H10" s="53">
        <f>'Income Statement'!H9</f>
        <v>1683592</v>
      </c>
      <c r="I10" s="53">
        <f>'Income Statement'!I9</f>
        <v>1660099.8199499999</v>
      </c>
      <c r="J10" s="53">
        <f>'Income Statement'!J9</f>
        <v>1668620.3322788998</v>
      </c>
      <c r="K10" s="53">
        <f>'Income Statement'!K9</f>
        <v>1697912.0935598249</v>
      </c>
      <c r="L10" s="53">
        <f>'Income Statement'!L9</f>
        <v>1748766.6313864458</v>
      </c>
      <c r="M10" s="53">
        <f>'Income Statement'!M9</f>
        <v>1810552.0995027099</v>
      </c>
    </row>
    <row r="11" spans="1:13" ht="15.75" customHeight="1" x14ac:dyDescent="0.2"/>
    <row r="12" spans="1:13" ht="15.75" customHeight="1" x14ac:dyDescent="0.2">
      <c r="A12" s="28" t="s">
        <v>35</v>
      </c>
      <c r="C12" s="29">
        <f t="shared" ref="C12:M12" si="1">C7-C10</f>
        <v>749948</v>
      </c>
      <c r="D12" s="29">
        <f t="shared" si="1"/>
        <v>1420220</v>
      </c>
      <c r="E12" s="29">
        <f t="shared" si="1"/>
        <v>1860282</v>
      </c>
      <c r="F12" s="29">
        <f t="shared" si="1"/>
        <v>2210010</v>
      </c>
      <c r="G12" s="29">
        <f t="shared" si="1"/>
        <v>2410258</v>
      </c>
      <c r="H12" s="29">
        <f t="shared" si="1"/>
        <v>2357055</v>
      </c>
      <c r="I12" s="29">
        <f t="shared" si="1"/>
        <v>2340140.7100499999</v>
      </c>
      <c r="J12" s="29">
        <f t="shared" si="1"/>
        <v>2371622.6030211002</v>
      </c>
      <c r="K12" s="29">
        <f t="shared" si="1"/>
        <v>2443336.9151226748</v>
      </c>
      <c r="L12" s="29">
        <f t="shared" si="1"/>
        <v>2537426.0925999414</v>
      </c>
      <c r="M12" s="29">
        <f t="shared" si="1"/>
        <v>2659946.9116150923</v>
      </c>
    </row>
    <row r="13" spans="1:13" ht="15.75" customHeight="1" x14ac:dyDescent="0.2">
      <c r="A13" s="22" t="s">
        <v>36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15.75" customHeight="1" x14ac:dyDescent="0.2"/>
    <row r="15" spans="1:13" ht="15.75" customHeight="1" x14ac:dyDescent="0.2">
      <c r="A15" s="22" t="s">
        <v>143</v>
      </c>
      <c r="C15" s="53">
        <f>'Income Statement'!C15</f>
        <v>514753</v>
      </c>
      <c r="D15" s="53">
        <f>'Income Statement'!D15</f>
        <v>737156</v>
      </c>
      <c r="E15" s="53">
        <f>'Income Statement'!E15</f>
        <v>982706</v>
      </c>
      <c r="F15" s="53">
        <f>'Income Statement'!F15</f>
        <v>1151064</v>
      </c>
      <c r="G15" s="53">
        <f>'Income Statement'!G15</f>
        <v>1338032</v>
      </c>
      <c r="H15" s="53">
        <f>'Income Statement'!H15</f>
        <v>1435580</v>
      </c>
      <c r="I15" s="53">
        <f>'Income Statement'!I15</f>
        <v>1400084.1854999999</v>
      </c>
      <c r="J15" s="53">
        <f>'Income Statement'!J15</f>
        <v>1393883.8126784998</v>
      </c>
      <c r="K15" s="53">
        <f>'Income Statement'!K15</f>
        <v>1408024.6629520499</v>
      </c>
      <c r="L15" s="53">
        <f>'Income Statement'!L15</f>
        <v>1435874.5625354399</v>
      </c>
      <c r="M15" s="53">
        <f>'Income Statement'!M15</f>
        <v>1475264.6736688747</v>
      </c>
    </row>
    <row r="16" spans="1:13" ht="15.75" customHeight="1" x14ac:dyDescent="0.2">
      <c r="A16" s="22" t="s">
        <v>39</v>
      </c>
      <c r="C16" s="53">
        <f>'Income Statement'!C17</f>
        <v>0</v>
      </c>
      <c r="D16" s="53">
        <f>'Income Statement'!D17</f>
        <v>0</v>
      </c>
      <c r="E16" s="53">
        <f>'Income Statement'!E17</f>
        <v>26820</v>
      </c>
      <c r="F16" s="53">
        <f>'Income Statement'!F17</f>
        <v>12876</v>
      </c>
      <c r="G16" s="53">
        <f>'Income Statement'!G17</f>
        <v>26233</v>
      </c>
      <c r="H16" s="53">
        <f>'Income Statement'!H17</f>
        <v>33845</v>
      </c>
      <c r="I16" s="53">
        <f>'Income Statement'!I17</f>
        <v>80004.810599999997</v>
      </c>
      <c r="J16" s="53">
        <f>'Income Statement'!J17</f>
        <v>80804.858705999999</v>
      </c>
      <c r="K16" s="53">
        <f>'Income Statement'!K17</f>
        <v>82824.980173649994</v>
      </c>
      <c r="L16" s="53">
        <f>'Income Statement'!L17</f>
        <v>85723.854479727743</v>
      </c>
      <c r="M16" s="53">
        <f>'Income Statement'!M17</f>
        <v>89409.98022235604</v>
      </c>
    </row>
    <row r="17" spans="1:13" ht="15.75" customHeight="1" x14ac:dyDescent="0.2"/>
    <row r="18" spans="1:13" ht="15.75" customHeight="1" x14ac:dyDescent="0.2">
      <c r="A18" s="28" t="s">
        <v>144</v>
      </c>
      <c r="C18" s="29">
        <f>'Income Statement'!C20</f>
        <v>235195</v>
      </c>
      <c r="D18" s="29">
        <f>'Income Statement'!D20</f>
        <v>683064</v>
      </c>
      <c r="E18" s="29">
        <f>'Income Statement'!E20</f>
        <v>850756</v>
      </c>
      <c r="F18" s="29">
        <f>'Income Statement'!F20</f>
        <v>1046070</v>
      </c>
      <c r="G18" s="29">
        <f>'Income Statement'!G20</f>
        <v>1045993</v>
      </c>
      <c r="H18" s="29">
        <f>'Income Statement'!H20</f>
        <v>887630</v>
      </c>
      <c r="I18" s="29">
        <f>'Income Statement'!I20</f>
        <v>860051.71395</v>
      </c>
      <c r="J18" s="29">
        <f>'Income Statement'!J20</f>
        <v>896933.93163660029</v>
      </c>
      <c r="K18" s="29">
        <f>'Income Statement'!K20</f>
        <v>952487.27199697495</v>
      </c>
      <c r="L18" s="29">
        <f>'Income Statement'!L20</f>
        <v>1015827.6755847738</v>
      </c>
      <c r="M18" s="29">
        <f>'Income Statement'!M20</f>
        <v>1095272.2577238616</v>
      </c>
    </row>
    <row r="19" spans="1:13" ht="15.75" customHeight="1" x14ac:dyDescent="0.2">
      <c r="A19" s="22" t="s">
        <v>42</v>
      </c>
      <c r="C19" s="63">
        <f t="shared" ref="C19:M19" si="2">C18/C7</f>
        <v>0.16969936166574431</v>
      </c>
      <c r="D19" s="63">
        <f t="shared" si="2"/>
        <v>0.2952620713265578</v>
      </c>
      <c r="E19" s="63">
        <f t="shared" si="2"/>
        <v>0.23931352734259076</v>
      </c>
      <c r="F19" s="63">
        <f t="shared" si="2"/>
        <v>0.264002622688018</v>
      </c>
      <c r="G19" s="63">
        <f t="shared" si="2"/>
        <v>0.25498914216788049</v>
      </c>
      <c r="H19" s="63">
        <f t="shared" si="2"/>
        <v>0.21967521538011114</v>
      </c>
      <c r="I19" s="63">
        <f t="shared" si="2"/>
        <v>0.21500000000000002</v>
      </c>
      <c r="J19" s="63">
        <f t="shared" si="2"/>
        <v>0.22200000000000006</v>
      </c>
      <c r="K19" s="63">
        <f t="shared" si="2"/>
        <v>0.23</v>
      </c>
      <c r="L19" s="63">
        <f t="shared" si="2"/>
        <v>0.23699999999999999</v>
      </c>
      <c r="M19" s="63">
        <f t="shared" si="2"/>
        <v>0.24500000000000002</v>
      </c>
    </row>
    <row r="20" spans="1:13" ht="15.75" customHeight="1" x14ac:dyDescent="0.2"/>
    <row r="21" spans="1:13" ht="15.75" customHeight="1" x14ac:dyDescent="0.2">
      <c r="A21" s="22" t="s">
        <v>145</v>
      </c>
      <c r="C21" s="53">
        <f>C18*WACC!$C$10</f>
        <v>50566.924999999996</v>
      </c>
      <c r="D21" s="53">
        <f>D18*WACC!$C$10</f>
        <v>146858.76</v>
      </c>
      <c r="E21" s="53">
        <f>E18*WACC!$C$10</f>
        <v>182912.54</v>
      </c>
      <c r="F21" s="53">
        <f>F18*WACC!$C$10</f>
        <v>224905.05</v>
      </c>
      <c r="G21" s="53">
        <f>G18*WACC!$C$10</f>
        <v>224888.495</v>
      </c>
      <c r="H21" s="53">
        <f>H18*WACC!$C$10</f>
        <v>190840.44999999998</v>
      </c>
      <c r="I21" s="53">
        <f>I18*WACC!$C$10</f>
        <v>184911.11849925001</v>
      </c>
      <c r="J21" s="53">
        <f>J18*WACC!$C$10</f>
        <v>192840.79530186905</v>
      </c>
      <c r="K21" s="53">
        <f>K18*WACC!$C$10</f>
        <v>204784.76347934961</v>
      </c>
      <c r="L21" s="53">
        <f>L18*WACC!$C$10</f>
        <v>218402.95025072637</v>
      </c>
      <c r="M21" s="53">
        <f>M18*WACC!$C$10</f>
        <v>235483.53541063025</v>
      </c>
    </row>
    <row r="22" spans="1:13" ht="15.75" customHeight="1" x14ac:dyDescent="0.2"/>
    <row r="23" spans="1:13" ht="15.75" customHeight="1" x14ac:dyDescent="0.2">
      <c r="A23" s="28" t="s">
        <v>146</v>
      </c>
      <c r="C23" s="29">
        <f t="shared" ref="C23:M23" si="3">C18-C21</f>
        <v>184628.07500000001</v>
      </c>
      <c r="D23" s="29">
        <f t="shared" si="3"/>
        <v>536205.24</v>
      </c>
      <c r="E23" s="29">
        <f t="shared" si="3"/>
        <v>667843.46</v>
      </c>
      <c r="F23" s="29">
        <f t="shared" si="3"/>
        <v>821164.95</v>
      </c>
      <c r="G23" s="29">
        <f t="shared" si="3"/>
        <v>821104.505</v>
      </c>
      <c r="H23" s="29">
        <f t="shared" si="3"/>
        <v>696789.55</v>
      </c>
      <c r="I23" s="29">
        <f t="shared" si="3"/>
        <v>675140.59545074997</v>
      </c>
      <c r="J23" s="29">
        <f t="shared" si="3"/>
        <v>704093.13633473124</v>
      </c>
      <c r="K23" s="29">
        <f t="shared" si="3"/>
        <v>747702.50851762528</v>
      </c>
      <c r="L23" s="29">
        <f t="shared" si="3"/>
        <v>797424.72533404734</v>
      </c>
      <c r="M23" s="29">
        <f t="shared" si="3"/>
        <v>859788.72231323132</v>
      </c>
    </row>
    <row r="24" spans="1:13" ht="15.75" customHeight="1" x14ac:dyDescent="0.2"/>
    <row r="25" spans="1:13" ht="15.75" customHeight="1" x14ac:dyDescent="0.2">
      <c r="A25" s="22" t="s">
        <v>147</v>
      </c>
      <c r="C25" s="53">
        <f>'Cash Flow Statement'!C8</f>
        <v>27619</v>
      </c>
      <c r="D25" s="53">
        <f>'Cash Flow Statement'!D8</f>
        <v>31976</v>
      </c>
      <c r="E25" s="53">
        <f>'Cash Flow Statement'!E8</f>
        <v>39229</v>
      </c>
      <c r="F25" s="53">
        <f>'Cash Flow Statement'!F8</f>
        <v>54304</v>
      </c>
      <c r="G25" s="53">
        <f>'Cash Flow Statement'!G8</f>
        <v>69840</v>
      </c>
      <c r="H25" s="53">
        <f>'Cash Flow Statement'!H8</f>
        <v>79282</v>
      </c>
      <c r="I25" s="53">
        <f>'Cash Flow Statement'!I8</f>
        <v>80004.810599999997</v>
      </c>
      <c r="J25" s="53">
        <f>'Cash Flow Statement'!J8</f>
        <v>80804.858705999999</v>
      </c>
      <c r="K25" s="53">
        <f>'Cash Flow Statement'!K8</f>
        <v>82824.980173649994</v>
      </c>
      <c r="L25" s="53">
        <f>'Cash Flow Statement'!L8</f>
        <v>85723.854479727743</v>
      </c>
      <c r="M25" s="53">
        <f>'Cash Flow Statement'!M8</f>
        <v>89409.98022235604</v>
      </c>
    </row>
    <row r="26" spans="1:13" ht="15.75" customHeight="1" x14ac:dyDescent="0.2">
      <c r="A26" s="22" t="s">
        <v>148</v>
      </c>
      <c r="C26" s="53">
        <f>'Cash Flow Statement'!C22</f>
        <v>-42033</v>
      </c>
      <c r="D26" s="53">
        <f>'Cash Flow Statement'!D22</f>
        <v>-55916</v>
      </c>
      <c r="E26" s="53">
        <f>'Cash Flow Statement'!E22</f>
        <v>-104190</v>
      </c>
      <c r="F26" s="53">
        <f>'Cash Flow Statement'!F22</f>
        <v>-115625</v>
      </c>
      <c r="G26" s="53">
        <f>'Cash Flow Statement'!G22</f>
        <v>-69347</v>
      </c>
      <c r="H26" s="53">
        <f>'Cash Flow Statement'!H22</f>
        <v>-51231</v>
      </c>
      <c r="I26" s="53">
        <f>'Cash Flow Statement'!I22</f>
        <v>-72004.329539999992</v>
      </c>
      <c r="J26" s="53">
        <f>'Cash Flow Statement'!J22</f>
        <v>-72724.37283539999</v>
      </c>
      <c r="K26" s="53">
        <f>'Cash Flow Statement'!K22</f>
        <v>-74542.482156284983</v>
      </c>
      <c r="L26" s="53">
        <f>'Cash Flow Statement'!L22</f>
        <v>-77151.469031754968</v>
      </c>
      <c r="M26" s="53">
        <f>'Cash Flow Statement'!M22</f>
        <v>-80468.98220012043</v>
      </c>
    </row>
    <row r="27" spans="1:13" ht="15.75" customHeight="1" x14ac:dyDescent="0.2">
      <c r="A27" s="22" t="s">
        <v>149</v>
      </c>
      <c r="C27" s="53">
        <f>NWC!C24</f>
        <v>0</v>
      </c>
      <c r="D27" s="53">
        <f>NWC!D24</f>
        <v>9617</v>
      </c>
      <c r="E27" s="53">
        <f>NWC!E24</f>
        <v>159358</v>
      </c>
      <c r="F27" s="53">
        <f>NWC!F24</f>
        <v>-111404</v>
      </c>
      <c r="G27" s="53">
        <f>NWC!G24</f>
        <v>-117568</v>
      </c>
      <c r="H27" s="53">
        <f>NWC!H24</f>
        <v>128022</v>
      </c>
      <c r="I27" s="53">
        <f>NWC!I24</f>
        <v>-46498.891929589096</v>
      </c>
      <c r="J27" s="53">
        <f>NWC!J24</f>
        <v>1784.8744457968278</v>
      </c>
      <c r="K27" s="53">
        <f>NWC!K24</f>
        <v>4549.4242367349798</v>
      </c>
      <c r="L27" s="53">
        <f>NWC!L24</f>
        <v>6576.7572612956865</v>
      </c>
      <c r="M27" s="53">
        <f>NWC!M24</f>
        <v>8347.0373976349365</v>
      </c>
    </row>
    <row r="28" spans="1:13" ht="15.75" customHeight="1" x14ac:dyDescent="0.2"/>
    <row r="29" spans="1:13" ht="15.75" customHeight="1" x14ac:dyDescent="0.2">
      <c r="A29" s="28" t="s">
        <v>150</v>
      </c>
      <c r="C29" s="29">
        <f t="shared" ref="C29:M29" si="4">C23+C25+C26-C27</f>
        <v>170214.07500000001</v>
      </c>
      <c r="D29" s="29">
        <f t="shared" si="4"/>
        <v>502648.24</v>
      </c>
      <c r="E29" s="29">
        <f t="shared" si="4"/>
        <v>443524.45999999996</v>
      </c>
      <c r="F29" s="29">
        <f t="shared" si="4"/>
        <v>871247.95</v>
      </c>
      <c r="G29" s="29">
        <f t="shared" si="4"/>
        <v>939165.505</v>
      </c>
      <c r="H29" s="29">
        <f t="shared" si="4"/>
        <v>596818.55000000005</v>
      </c>
      <c r="I29" s="29">
        <f t="shared" si="4"/>
        <v>729639.96844033909</v>
      </c>
      <c r="J29" s="29">
        <f t="shared" si="4"/>
        <v>710388.7477595344</v>
      </c>
      <c r="K29" s="29">
        <f t="shared" si="4"/>
        <v>751435.58229825529</v>
      </c>
      <c r="L29" s="29">
        <f t="shared" si="4"/>
        <v>799420.35352072446</v>
      </c>
      <c r="M29" s="29">
        <f t="shared" si="4"/>
        <v>860382.68293783197</v>
      </c>
    </row>
    <row r="30" spans="1:13" ht="15.75" customHeight="1" x14ac:dyDescent="0.2"/>
    <row r="31" spans="1:13" ht="15.75" customHeight="1" x14ac:dyDescent="0.2">
      <c r="A31" s="22" t="s">
        <v>151</v>
      </c>
      <c r="C31" s="26"/>
      <c r="D31" s="26"/>
      <c r="E31" s="26"/>
      <c r="F31" s="26"/>
      <c r="G31" s="26"/>
      <c r="H31" s="26"/>
      <c r="I31" s="64">
        <f>WACC!$C$22</f>
        <v>0.12459983438839371</v>
      </c>
      <c r="J31" s="64">
        <f>WACC!$C$22</f>
        <v>0.12459983438839371</v>
      </c>
      <c r="K31" s="64">
        <f>WACC!$C$22</f>
        <v>0.12459983438839371</v>
      </c>
      <c r="L31" s="64">
        <f>WACC!$C$22</f>
        <v>0.12459983438839371</v>
      </c>
      <c r="M31" s="64">
        <f>WACC!$C$22</f>
        <v>0.12459983438839371</v>
      </c>
    </row>
    <row r="32" spans="1:13" ht="15.75" customHeight="1" x14ac:dyDescent="0.2">
      <c r="A32" s="22" t="s">
        <v>152</v>
      </c>
      <c r="C32" s="34"/>
      <c r="D32" s="34"/>
      <c r="E32" s="34"/>
      <c r="F32" s="34"/>
      <c r="G32" s="34"/>
      <c r="H32" s="34"/>
      <c r="I32" s="65">
        <v>0.5</v>
      </c>
      <c r="J32" s="65">
        <v>1.5</v>
      </c>
      <c r="K32" s="65">
        <v>2.5</v>
      </c>
      <c r="L32" s="65">
        <v>3.5</v>
      </c>
      <c r="M32" s="65">
        <v>4.5</v>
      </c>
    </row>
    <row r="33" spans="1:13" ht="15.75" customHeight="1" x14ac:dyDescent="0.2">
      <c r="A33" s="22" t="s">
        <v>153</v>
      </c>
      <c r="C33" s="34"/>
      <c r="D33" s="34"/>
      <c r="E33" s="34"/>
      <c r="F33" s="34"/>
      <c r="G33" s="34"/>
      <c r="H33" s="34"/>
      <c r="I33" s="66">
        <f>1/(1+I31)^I32</f>
        <v>0.94297676622036841</v>
      </c>
      <c r="J33" s="66">
        <f>1/(1+J31)^J32</f>
        <v>0.83849982668119472</v>
      </c>
      <c r="K33" s="66">
        <f>1/(1+K31)^K32</f>
        <v>0.74559839068196865</v>
      </c>
      <c r="L33" s="66">
        <f>1/(1+L31)^L32</f>
        <v>0.66298995241045677</v>
      </c>
      <c r="M33" s="66">
        <f>1/(1+M31)^M32</f>
        <v>0.58953410105294879</v>
      </c>
    </row>
    <row r="34" spans="1:13" ht="15.75" customHeight="1" x14ac:dyDescent="0.2"/>
    <row r="35" spans="1:13" ht="15.75" customHeight="1" x14ac:dyDescent="0.2">
      <c r="A35" s="28" t="s">
        <v>154</v>
      </c>
      <c r="C35" s="67"/>
      <c r="D35" s="67"/>
      <c r="E35" s="67"/>
      <c r="F35" s="67"/>
      <c r="G35" s="67"/>
      <c r="H35" s="67"/>
      <c r="I35" s="29">
        <f>I29*I33</f>
        <v>688033.53794500267</v>
      </c>
      <c r="J35" s="29">
        <f>J29*J33</f>
        <v>595660.84187264054</v>
      </c>
      <c r="K35" s="29">
        <f>K29*K33</f>
        <v>560269.16086274711</v>
      </c>
      <c r="L35" s="29">
        <f>L29*L33</f>
        <v>530007.66213665565</v>
      </c>
      <c r="M35" s="29">
        <f>M29*M33</f>
        <v>507224.931547279</v>
      </c>
    </row>
    <row r="37" spans="1:13" ht="15.75" customHeight="1" x14ac:dyDescent="0.2">
      <c r="A37" s="9" t="s">
        <v>155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15.75" customHeight="1" x14ac:dyDescent="0.2">
      <c r="A38" s="22" t="s">
        <v>156</v>
      </c>
      <c r="C38" s="68">
        <f>SUM(I35:M35)</f>
        <v>2881196.1343643251</v>
      </c>
    </row>
    <row r="39" spans="1:13" ht="15.75" customHeight="1" x14ac:dyDescent="0.2">
      <c r="A39" s="22" t="s">
        <v>157</v>
      </c>
      <c r="C39" s="69">
        <v>0.02</v>
      </c>
    </row>
    <row r="40" spans="1:13" ht="15.75" customHeight="1" x14ac:dyDescent="0.2">
      <c r="A40" s="22" t="s">
        <v>158</v>
      </c>
      <c r="C40" s="68">
        <f>M29</f>
        <v>860382.68293783197</v>
      </c>
    </row>
    <row r="41" spans="1:13" ht="15.75" customHeight="1" x14ac:dyDescent="0.2">
      <c r="A41" s="22" t="s">
        <v>159</v>
      </c>
      <c r="C41" s="68">
        <f>C40*(1+C39)/(WACC!$C$22-C39)</f>
        <v>8389978.2607491892</v>
      </c>
    </row>
    <row r="42" spans="1:13" ht="15.75" customHeight="1" x14ac:dyDescent="0.2">
      <c r="A42" s="22" t="s">
        <v>160</v>
      </c>
      <c r="C42" s="68">
        <f>C41*M33</f>
        <v>4946178.2918045558</v>
      </c>
    </row>
    <row r="43" spans="1:13" ht="15.75" customHeight="1" x14ac:dyDescent="0.2">
      <c r="A43" s="28" t="s">
        <v>161</v>
      </c>
      <c r="C43" s="29">
        <f>C38+C42</f>
        <v>7827374.4261688814</v>
      </c>
    </row>
    <row r="44" spans="1:13" ht="15.75" customHeight="1" x14ac:dyDescent="0.2">
      <c r="A44" s="22" t="s">
        <v>162</v>
      </c>
      <c r="C44" s="68">
        <f>'Balance Sheet'!H8</f>
        <v>130354</v>
      </c>
    </row>
    <row r="45" spans="1:13" ht="15.75" customHeight="1" x14ac:dyDescent="0.2">
      <c r="A45" s="22" t="s">
        <v>163</v>
      </c>
      <c r="C45" s="68">
        <f>('Balance Sheet'!H27+'Balance Sheet'!H32)</f>
        <v>1613849</v>
      </c>
    </row>
    <row r="46" spans="1:13" ht="15.75" customHeight="1" x14ac:dyDescent="0.2">
      <c r="A46" s="22" t="s">
        <v>164</v>
      </c>
      <c r="C46" s="70">
        <v>0</v>
      </c>
    </row>
    <row r="47" spans="1:13" ht="15.75" customHeight="1" x14ac:dyDescent="0.2">
      <c r="A47" s="28" t="s">
        <v>165</v>
      </c>
      <c r="C47" s="29">
        <f>C43+C44-C45-C46</f>
        <v>6343879.4261688814</v>
      </c>
    </row>
    <row r="48" spans="1:13" ht="15.75" customHeight="1" x14ac:dyDescent="0.2">
      <c r="A48" s="22" t="s">
        <v>166</v>
      </c>
      <c r="C48" s="69">
        <v>54208</v>
      </c>
    </row>
    <row r="49" spans="1:13" ht="15.75" customHeight="1" x14ac:dyDescent="0.2">
      <c r="A49" s="28" t="s">
        <v>167</v>
      </c>
      <c r="C49" s="71">
        <f>C47/C48</f>
        <v>117.02847229502807</v>
      </c>
    </row>
    <row r="50" spans="1:13" ht="15.75" customHeight="1" x14ac:dyDescent="0.2">
      <c r="A50" s="22" t="s">
        <v>168</v>
      </c>
      <c r="C50" s="72">
        <v>79.540000000000006</v>
      </c>
    </row>
    <row r="51" spans="1:13" ht="15.75" customHeight="1" x14ac:dyDescent="0.2">
      <c r="A51" s="28" t="s">
        <v>169</v>
      </c>
      <c r="C51" s="73">
        <f>(C49-C50)/C50</f>
        <v>0.47131597051833113</v>
      </c>
    </row>
    <row r="53" spans="1:13" ht="15.75" customHeight="1" x14ac:dyDescent="0.2">
      <c r="A53" s="9" t="s">
        <v>170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ht="15" customHeight="1" x14ac:dyDescent="0.2">
      <c r="A54" s="60" t="s">
        <v>171</v>
      </c>
      <c r="C54" s="74">
        <v>0.09</v>
      </c>
      <c r="D54" s="74">
        <v>0.1</v>
      </c>
      <c r="E54" s="74">
        <v>0.11</v>
      </c>
      <c r="F54" s="74">
        <v>0.12</v>
      </c>
      <c r="G54" s="74">
        <v>0.1246</v>
      </c>
      <c r="H54" s="74">
        <v>0.13</v>
      </c>
      <c r="I54" s="74">
        <v>0.14000000000000001</v>
      </c>
      <c r="J54" s="20" t="s">
        <v>172</v>
      </c>
    </row>
    <row r="55" spans="1:13" ht="15" customHeight="1" x14ac:dyDescent="0.2">
      <c r="A55" s="74">
        <v>0.01</v>
      </c>
      <c r="C55" s="75">
        <f>IFERROR(((I29/(1+C54)^0.5+J29/(1+C54)^1.5+K29/(1+C54)^2.5+L29/(1+C54)^3.5+M29/(1+C54)^4.5)+(M29*(1+A55)/(C54-A55)/(1+C54)^4.5)+'Balance Sheet'!H8-('Balance Sheet'!H27+'Balance Sheet'!H32))/54208,"N/A")</f>
        <v>165.86311703917295</v>
      </c>
      <c r="D55" s="75">
        <f>IFERROR(((I29/(1+D54)^0.5+J29/(1+D54)^1.5+K29/(1+D54)^2.5+L29/(1+D54)^3.5+M29/(1+D54)^4.5)+(M29*(1+A55)/(D54-A55)/(1+D54)^4.5)+'Balance Sheet'!H8-('Balance Sheet'!H27+'Balance Sheet'!H32))/54208,"N/A")</f>
        <v>144.64474343481035</v>
      </c>
      <c r="E55" s="75">
        <f>IFERROR(((I29/(1+E54)^0.5+J29/(1+E54)^1.5+K29/(1+E54)^2.5+L29/(1+E54)^3.5+M29/(1+E54)^4.5)+(M29*(1+A55)/(E54-A55)/(1+E54)^4.5)+'Balance Sheet'!H8-('Balance Sheet'!H27+'Balance Sheet'!H32))/54208,"N/A")</f>
        <v>127.68188881635949</v>
      </c>
      <c r="F55" s="75">
        <f>IFERROR(((I29/(1+F54)^0.5+J29/(1+F54)^1.5+K29/(1+F54)^2.5+L29/(1+F54)^3.5+M29/(1+F54)^4.5)+(M29*(1+A55)/(F54-A55)/(1+F54)^4.5)+'Balance Sheet'!H8-('Balance Sheet'!H27+'Balance Sheet'!H32))/54208,"N/A")</f>
        <v>113.81339436812684</v>
      </c>
      <c r="G55" s="75">
        <f>IFERROR(((I29/(1+G54)^0.5+J29/(1+G54)^1.5+K29/(1+G54)^2.5+L29/(1+G54)^3.5+M29/(1+G54)^4.5)+(M29*(1+A55)/(G54-A55)/(1+G54)^4.5)+'Balance Sheet'!H8-('Balance Sheet'!H27+'Balance Sheet'!H32))/54208,"N/A")</f>
        <v>108.24978162805454</v>
      </c>
      <c r="H55" s="75">
        <f>IFERROR(((I29/(1+H54)^0.5+J29/(1+H54)^1.5+K29/(1+H54)^2.5+L29/(1+H54)^3.5+M29/(1+H54)^4.5)+(M29*(1+A55)/(H54-A55)/(1+H54)^4.5)+'Balance Sheet'!H8-('Balance Sheet'!H27+'Balance Sheet'!H32))/54208,"N/A")</f>
        <v>102.26518287271975</v>
      </c>
      <c r="I55" s="75">
        <f>IFERROR(((I29/(1+I54)^0.5+J29/(1+I54)^1.5+K29/(1+I54)^2.5+L29/(1+I54)^3.5+M29/(1+I54)^4.5)+(M29*(1+A55)/(I54-A55)/(1+I54)^4.5)+'Balance Sheet'!H8-('Balance Sheet'!H27+'Balance Sheet'!H32))/54208,"N/A")</f>
        <v>92.501379505274883</v>
      </c>
      <c r="J55" s="76"/>
    </row>
    <row r="56" spans="1:13" ht="15" customHeight="1" x14ac:dyDescent="0.2">
      <c r="A56" s="74">
        <v>1.4999999999999999E-2</v>
      </c>
      <c r="C56" s="75">
        <f>IFERROR(((I29/(1+C54)^0.5+J29/(1+C54)^1.5+K29/(1+C54)^2.5+L29/(1+C54)^3.5+M29/(1+C54)^4.5)+(M29*(1+A56)/(C54-A56)/(1+C54)^4.5)+'Balance Sheet'!H8-('Balance Sheet'!H27+'Balance Sheet'!H32))/54208,"N/A")</f>
        <v>175.64571684724123</v>
      </c>
      <c r="D56" s="75">
        <f>IFERROR(((I29/(1+D54)^0.5+J29/(1+D54)^1.5+K29/(1+D54)^2.5+L29/(1+D54)^3.5+M29/(1+D54)^4.5)+(M29*(1+A56)/(D54-A56)/(1+D54)^4.5)+'Balance Sheet'!H8-('Balance Sheet'!H27+'Balance Sheet'!H32))/54208,"N/A")</f>
        <v>152.07600328291363</v>
      </c>
      <c r="E56" s="75">
        <f>IFERROR(((I29/(1+E54)^0.5+J29/(1+E54)^1.5+K29/(1+E54)^2.5+L29/(1+E54)^3.5+M29/(1+E54)^4.5)+(M29*(1+A56)/(E54-A56)/(1+E54)^4.5)+'Balance Sheet'!H8-('Balance Sheet'!H27+'Balance Sheet'!H32))/54208,"N/A")</f>
        <v>133.47943543684821</v>
      </c>
      <c r="F56" s="75">
        <f>IFERROR(((I29/(1+F54)^0.5+J29/(1+F54)^1.5+K29/(1+F54)^2.5+L29/(1+F54)^3.5+M29/(1+F54)^4.5)+(M29*(1+A56)/(F54-A56)/(1+F54)^4.5)+'Balance Sheet'!H8-('Balance Sheet'!H27+'Balance Sheet'!H32))/54208,"N/A")</f>
        <v>118.43457790129088</v>
      </c>
      <c r="G56" s="75">
        <f>IFERROR(((I29/(1+G54)^0.5+J29/(1+G54)^1.5+K29/(1+G54)^2.5+L29/(1+G54)^3.5+M29/(1+G54)^4.5)+(M29*(1+A56)/(G54-A56)/(1+G54)^4.5)+'Balance Sheet'!H8-('Balance Sheet'!H27+'Balance Sheet'!H32))/54208,"N/A")</f>
        <v>112.43877653002298</v>
      </c>
      <c r="H56" s="75">
        <f>IFERROR(((I29/(1+H54)^0.5+J29/(1+H54)^1.5+K29/(1+H54)^2.5+L29/(1+H54)^3.5+M29/(1+H54)^4.5)+(M29*(1+A56)/(H54-A56)/(1+H54)^4.5)+'Balance Sheet'!H8-('Balance Sheet'!H27+'Balance Sheet'!H32))/54208,"N/A")</f>
        <v>106.01443496165371</v>
      </c>
      <c r="I56" s="75">
        <f>IFERROR(((I29/(1+I54)^0.5+J29/(1+I54)^1.5+K29/(1+I54)^2.5+L29/(1+I54)^3.5+M29/(1+I54)^4.5)+(M29*(1+A56)/(I54-A56)/(1+I54)^4.5)+'Balance Sheet'!H8-('Balance Sheet'!H27+'Balance Sheet'!H32))/54208,"N/A")</f>
        <v>95.588673127264954</v>
      </c>
      <c r="J56" s="76"/>
    </row>
    <row r="57" spans="1:13" ht="15" customHeight="1" x14ac:dyDescent="0.2">
      <c r="A57" s="74">
        <v>0.02</v>
      </c>
      <c r="C57" s="75">
        <f>IFERROR(((I29/(1+C54)^0.5+J29/(1+C54)^1.5+K29/(1+C54)^2.5+L29/(1+C54)^3.5+M29/(1+C54)^4.5)+(M29*(1+A57)/(C54-A57)/(1+C54)^4.5)+'Balance Sheet'!H8-('Balance Sheet'!H27+'Balance Sheet'!H32))/54208,"N/A")</f>
        <v>186.82583091360507</v>
      </c>
      <c r="D57" s="75">
        <f>IFERROR(((I29/(1+D54)^0.5+J29/(1+D54)^1.5+K29/(1+D54)^2.5+L29/(1+D54)^3.5+M29/(1+D54)^4.5)+(M29*(1+A57)/(D54-A57)/(1+D54)^4.5)+'Balance Sheet'!H8-('Balance Sheet'!H27+'Balance Sheet'!H32))/54208,"N/A")</f>
        <v>160.43617061202985</v>
      </c>
      <c r="E57" s="75">
        <f>IFERROR(((I29/(1+E54)^0.5+J29/(1+E54)^1.5+K29/(1+E54)^2.5+L29/(1+E54)^3.5+M29/(1+E54)^4.5)+(M29*(1+A57)/(E54-A57)/(1+E54)^4.5)+'Balance Sheet'!H8-('Balance Sheet'!H27+'Balance Sheet'!H32))/54208,"N/A")</f>
        <v>139.92115390405797</v>
      </c>
      <c r="F57" s="75">
        <f>IFERROR(((I29/(1+F54)^0.5+J29/(1+F54)^1.5+K29/(1+F54)^2.5+L29/(1+F54)^3.5+M29/(1+F54)^4.5)+(M29*(1+A57)/(F54-A57)/(1+F54)^4.5)+'Balance Sheet'!H8-('Balance Sheet'!H27+'Balance Sheet'!H32))/54208,"N/A")</f>
        <v>123.51787978777132</v>
      </c>
      <c r="G57" s="77">
        <f>IFERROR(((I29/(1+G54)^0.5+J29/(1+G54)^1.5+K29/(1+G54)^2.5+L29/(1+G54)^3.5+M29/(1+G54)^4.5)+(M29*(1+A57)/(G54-A57)/(1+G54)^4.5)+'Balance Sheet'!H8-('Balance Sheet'!H27+'Balance Sheet'!H32))/54208,"N/A")</f>
        <v>117.02824895608022</v>
      </c>
      <c r="H57" s="75">
        <f>IFERROR(((I29/(1+H54)^0.5+J29/(1+H54)^1.5+K29/(1+H54)^2.5+L29/(1+H54)^3.5+M29/(1+H54)^4.5)+(M29*(1+A57)/(H54-A57)/(1+H54)^4.5)+'Balance Sheet'!H8-('Balance Sheet'!H27+'Balance Sheet'!H32))/54208,"N/A")</f>
        <v>110.10452814958172</v>
      </c>
      <c r="I57" s="75">
        <f>IFERROR(((I29/(1+I54)^0.5+J29/(1+I54)^1.5+K29/(1+I54)^2.5+L29/(1+I54)^3.5+M29/(1+I54)^4.5)+(M29*(1+A57)/(I54-A57)/(1+I54)^4.5)+'Balance Sheet'!H8-('Balance Sheet'!H27+'Balance Sheet'!H32))/54208,"N/A")</f>
        <v>98.933241217754201</v>
      </c>
      <c r="J57" s="76"/>
    </row>
    <row r="58" spans="1:13" ht="15" customHeight="1" x14ac:dyDescent="0.2">
      <c r="A58" s="74">
        <v>2.5000000000000001E-2</v>
      </c>
      <c r="C58" s="75">
        <f>IFERROR(((I29/(1+C54)^0.5+J29/(1+C54)^1.5+K29/(1+C54)^2.5+L29/(1+C54)^3.5+M29/(1+C54)^4.5)+(M29*(1+A58)/(C54-A58)/(1+C54)^4.5)+'Balance Sheet'!H8-('Balance Sheet'!H27+'Balance Sheet'!H32))/54208,"N/A")</f>
        <v>199.72596252864014</v>
      </c>
      <c r="D58" s="75">
        <f>IFERROR(((I29/(1+D54)^0.5+J29/(1+D54)^1.5+K29/(1+D54)^2.5+L29/(1+D54)^3.5+M29/(1+D54)^4.5)+(M29*(1+A58)/(D54-A58)/(1+D54)^4.5)+'Balance Sheet'!H8-('Balance Sheet'!H27+'Balance Sheet'!H32))/54208,"N/A")</f>
        <v>169.9110269183615</v>
      </c>
      <c r="E58" s="75">
        <f>IFERROR(((I29/(1+E54)^0.5+J29/(1+E54)^1.5+K29/(1+E54)^2.5+L29/(1+E54)^3.5+M29/(1+E54)^4.5)+(M29*(1+A58)/(E54-A58)/(1+E54)^4.5)+'Balance Sheet'!H8-('Balance Sheet'!H27+'Balance Sheet'!H32))/54208,"N/A")</f>
        <v>147.12072160270418</v>
      </c>
      <c r="F58" s="75">
        <f>IFERROR(((I29/(1+F54)^0.5+J29/(1+F54)^1.5+K29/(1+F54)^2.5+L29/(1+F54)^3.5+M29/(1+F54)^4.5)+(M29*(1+A58)/(F54-A58)/(1+F54)^4.5)+'Balance Sheet'!H8-('Balance Sheet'!H27+'Balance Sheet'!H32))/54208,"N/A")</f>
        <v>129.13626608335494</v>
      </c>
      <c r="G58" s="75">
        <f>IFERROR(((I29/(1+G54)^0.5+J29/(1+G54)^1.5+K29/(1+G54)^2.5+L29/(1+G54)^3.5+M29/(1+G54)^4.5)+(M29*(1+A58)/(G54-A58)/(1+G54)^4.5)+'Balance Sheet'!H8-('Balance Sheet'!H27+'Balance Sheet'!H32))/54208,"N/A")</f>
        <v>122.07851178636005</v>
      </c>
      <c r="H58" s="75">
        <f>IFERROR(((I29/(1+H54)^0.5+J29/(1+H54)^1.5+K29/(1+H54)^2.5+L29/(1+H54)^3.5+M29/(1+H54)^4.5)+(M29*(1+A58)/(H54-A58)/(1+H54)^4.5)+'Balance Sheet'!H8-('Balance Sheet'!H27+'Balance Sheet'!H32))/54208,"N/A")</f>
        <v>114.58415402207426</v>
      </c>
      <c r="I58" s="75">
        <f>IFERROR(((I29/(1+I54)^0.5+J29/(1+I54)^1.5+K29/(1+I54)^2.5+L29/(1+I54)^3.5+M29/(1+I54)^4.5)+(M29*(1+A58)/(I54-A58)/(1+I54)^4.5)+'Balance Sheet'!H8-('Balance Sheet'!H27+'Balance Sheet'!H32))/54208,"N/A")</f>
        <v>102.56864131611209</v>
      </c>
      <c r="J58" s="76"/>
    </row>
    <row r="59" spans="1:13" ht="15" customHeight="1" x14ac:dyDescent="0.2">
      <c r="A59" s="74">
        <v>0.03</v>
      </c>
      <c r="C59" s="75">
        <f>IFERROR(((I29/(1+C54)^0.5+J29/(1+C54)^1.5+K29/(1+C54)^2.5+L29/(1+C54)^3.5+M29/(1+C54)^4.5)+(M29*(1+A59)/(C54-A59)/(1+C54)^4.5)+'Balance Sheet'!H8-('Balance Sheet'!H27+'Balance Sheet'!H32))/54208,"N/A")</f>
        <v>214.77611607951448</v>
      </c>
      <c r="D59" s="75">
        <f>IFERROR(((I29/(1+D54)^0.5+J29/(1+D54)^1.5+K29/(1+D54)^2.5+L29/(1+D54)^3.5+M29/(1+D54)^4.5)+(M29*(1+A59)/(D54-A59)/(1+D54)^4.5)+'Balance Sheet'!H8-('Balance Sheet'!H27+'Balance Sheet'!H32))/54208,"N/A")</f>
        <v>180.73943412559774</v>
      </c>
      <c r="E59" s="75">
        <f>IFERROR(((I29/(1+E54)^0.5+J29/(1+E54)^1.5+K29/(1+E54)^2.5+L29/(1+E54)^3.5+M29/(1+E54)^4.5)+(M29*(1+A59)/(E54-A59)/(1+E54)^4.5)+'Balance Sheet'!H8-('Balance Sheet'!H27+'Balance Sheet'!H32))/54208,"N/A")</f>
        <v>155.2202352636811</v>
      </c>
      <c r="F59" s="75">
        <f>IFERROR(((I29/(1+F54)^0.5+J29/(1+F54)^1.5+K29/(1+F54)^2.5+L29/(1+F54)^3.5+M29/(1+F54)^4.5)+(M29*(1+A59)/(F54-A59)/(1+F54)^4.5)+'Balance Sheet'!H8-('Balance Sheet'!H27+'Balance Sheet'!H32))/54208,"N/A")</f>
        <v>135.37891752289235</v>
      </c>
      <c r="G59" s="75">
        <f>IFERROR(((I29/(1+G54)^0.5+J29/(1+G54)^1.5+K29/(1+G54)^2.5+L29/(1+G54)^3.5+M29/(1+G54)^4.5)+(M29*(1+A59)/(G54-A59)/(1+G54)^4.5)+'Balance Sheet'!H8-('Balance Sheet'!H27+'Balance Sheet'!H32))/54208,"N/A")</f>
        <v>127.66262903844535</v>
      </c>
      <c r="H59" s="75">
        <f>IFERROR(((I29/(1+H54)^0.5+J29/(1+H54)^1.5+K29/(1+H54)^2.5+L29/(1+H54)^3.5+M29/(1+H54)^4.5)+(M29*(1+A59)/(H54-A59)/(1+H54)^4.5)+'Balance Sheet'!H8-('Balance Sheet'!H27+'Balance Sheet'!H32))/54208,"N/A")</f>
        <v>119.51174248181609</v>
      </c>
      <c r="I59" s="75">
        <f>IFERROR(((I29/(1+I54)^0.5+J29/(1+I54)^1.5+K29/(1+I54)^2.5+L29/(1+I54)^3.5+M29/(1+I54)^4.5)+(M29*(1+A59)/(I54-A59)/(1+I54)^4.5)+'Balance Sheet'!H8-('Balance Sheet'!H27+'Balance Sheet'!H32))/54208,"N/A")</f>
        <v>106.53453233250251</v>
      </c>
      <c r="J59" s="76"/>
    </row>
    <row r="60" spans="1:13" ht="15" customHeight="1" x14ac:dyDescent="0.2">
      <c r="A60" s="74">
        <v>3.5000000000000003E-2</v>
      </c>
      <c r="C60" s="75">
        <f>IFERROR(((I29/(1+C54)^0.5+J29/(1+C54)^1.5+K29/(1+C54)^2.5+L29/(1+C54)^3.5+M29/(1+C54)^4.5)+(M29*(1+A60)/(C54-A60)/(1+C54)^4.5)+'Balance Sheet'!H8-('Balance Sheet'!H27+'Balance Sheet'!H32))/54208,"N/A")</f>
        <v>232.56266118509322</v>
      </c>
      <c r="D60" s="75">
        <f>IFERROR(((I29/(1+D54)^0.5+J29/(1+D54)^1.5+K29/(1+D54)^2.5+L29/(1+D54)^3.5+M29/(1+D54)^4.5)+(M29*(1+A60)/(D54-A60)/(1+D54)^4.5)+'Balance Sheet'!H8-('Balance Sheet'!H27+'Balance Sheet'!H32))/54208,"N/A")</f>
        <v>193.23375013394718</v>
      </c>
      <c r="E60" s="75">
        <f>IFERROR(((I29/(1+E54)^0.5+J29/(1+E54)^1.5+K29/(1+E54)^2.5+L29/(1+E54)^3.5+M29/(1+E54)^4.5)+(M29*(1+A60)/(E54-A60)/(1+E54)^4.5)+'Balance Sheet'!H8-('Balance Sheet'!H27+'Balance Sheet'!H32))/54208,"N/A")</f>
        <v>164.39968407945497</v>
      </c>
      <c r="F60" s="75">
        <f>IFERROR(((I29/(1+F54)^0.5+J29/(1+F54)^1.5+K29/(1+F54)^2.5+L29/(1+F54)^3.5+M29/(1+F54)^4.5)+(M29*(1+A60)/(F54-A60)/(1+F54)^4.5)+'Balance Sheet'!H8-('Balance Sheet'!H27+'Balance Sheet'!H32))/54208,"N/A")</f>
        <v>142.35599854355175</v>
      </c>
      <c r="G60" s="75">
        <f>IFERROR(((I29/(1+G54)^0.5+J29/(1+G54)^1.5+K29/(1+G54)^2.5+L29/(1+G54)^3.5+M29/(1+G54)^4.5)+(M29*(1+A60)/(G54-A60)/(1+G54)^4.5)+'Balance Sheet'!H8-('Balance Sheet'!H27+'Balance Sheet'!H32))/54208,"N/A")</f>
        <v>133.86997366241519</v>
      </c>
      <c r="H60" s="75">
        <f>IFERROR(((I29/(1+H54)^0.5+J29/(1+H54)^1.5+K29/(1+H54)^2.5+L29/(1+H54)^3.5+M29/(1+H54)^4.5)+(M29*(1+A60)/(H54-A60)/(1+H54)^4.5)+'Balance Sheet'!H8-('Balance Sheet'!H27+'Balance Sheet'!H32))/54208,"N/A")</f>
        <v>124.95802446363597</v>
      </c>
      <c r="I60" s="75">
        <f>IFERROR(((I29/(1+I54)^0.5+J29/(1+I54)^1.5+K29/(1+I54)^2.5+L29/(1+I54)^3.5+M29/(1+I54)^4.5)+(M29*(1+A60)/(I54-A60)/(1+I54)^4.5)+'Balance Sheet'!H8-('Balance Sheet'!H27+'Balance Sheet'!H32))/54208,"N/A")</f>
        <v>110.87812725521582</v>
      </c>
      <c r="J60" s="76"/>
    </row>
  </sheetData>
  <mergeCells count="6">
    <mergeCell ref="A53:M53"/>
    <mergeCell ref="A1:M1"/>
    <mergeCell ref="A2:M2"/>
    <mergeCell ref="C5:H5"/>
    <mergeCell ref="I5:M5"/>
    <mergeCell ref="A37:M3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showGridLines="0" zoomScaleNormal="100" workbookViewId="0">
      <selection activeCell="F33" sqref="F33"/>
    </sheetView>
  </sheetViews>
  <sheetFormatPr baseColWidth="10" defaultColWidth="8.6640625" defaultRowHeight="15" x14ac:dyDescent="0.2"/>
  <cols>
    <col min="1" max="1" width="32" customWidth="1"/>
    <col min="2" max="4" width="16" customWidth="1"/>
    <col min="5" max="5" width="35" customWidth="1"/>
    <col min="6" max="6" width="28" customWidth="1"/>
    <col min="7" max="8" width="14" customWidth="1"/>
  </cols>
  <sheetData>
    <row r="1" spans="1:8" ht="24.75" customHeight="1" x14ac:dyDescent="0.2">
      <c r="A1" s="5" t="s">
        <v>302</v>
      </c>
      <c r="B1" s="5"/>
      <c r="C1" s="5"/>
      <c r="D1" s="5"/>
      <c r="E1" s="5"/>
      <c r="F1" s="5"/>
      <c r="G1" s="5"/>
      <c r="H1" s="5"/>
    </row>
    <row r="2" spans="1:8" ht="15" customHeight="1" x14ac:dyDescent="0.2">
      <c r="A2" s="4" t="s">
        <v>303</v>
      </c>
      <c r="B2" s="4"/>
      <c r="C2" s="4"/>
      <c r="D2" s="4"/>
      <c r="E2" s="4"/>
      <c r="F2" s="4"/>
      <c r="G2" s="4"/>
      <c r="H2" s="4"/>
    </row>
    <row r="4" spans="1:8" ht="18" customHeight="1" x14ac:dyDescent="0.2">
      <c r="A4" s="3" t="s">
        <v>304</v>
      </c>
      <c r="B4" s="3"/>
      <c r="C4" s="3"/>
      <c r="D4" s="3"/>
      <c r="E4" s="118"/>
    </row>
    <row r="5" spans="1:8" ht="18" customHeight="1" x14ac:dyDescent="0.2">
      <c r="B5" s="119" t="s">
        <v>305</v>
      </c>
      <c r="C5" s="119" t="s">
        <v>306</v>
      </c>
      <c r="D5" s="119" t="s">
        <v>307</v>
      </c>
    </row>
    <row r="6" spans="1:8" ht="15.75" customHeight="1" x14ac:dyDescent="0.2">
      <c r="A6" s="120" t="s">
        <v>308</v>
      </c>
      <c r="B6" s="70"/>
      <c r="C6" s="121">
        <f>DCF!C38</f>
        <v>2881196.1343643251</v>
      </c>
      <c r="D6" s="70"/>
    </row>
    <row r="7" spans="1:8" ht="15.75" customHeight="1" x14ac:dyDescent="0.2">
      <c r="A7" s="120" t="s">
        <v>160</v>
      </c>
      <c r="B7" s="70"/>
      <c r="C7" s="121">
        <f>DCF!C42</f>
        <v>4946178.2918045558</v>
      </c>
      <c r="D7" s="70"/>
    </row>
    <row r="8" spans="1:8" ht="15.75" customHeight="1" x14ac:dyDescent="0.2">
      <c r="A8" s="122" t="s">
        <v>161</v>
      </c>
      <c r="B8" s="67"/>
      <c r="C8" s="123">
        <f>DCF!C43</f>
        <v>7827374.4261688814</v>
      </c>
      <c r="D8" s="67"/>
    </row>
    <row r="9" spans="1:8" ht="15.75" customHeight="1" x14ac:dyDescent="0.2">
      <c r="A9" s="120" t="s">
        <v>162</v>
      </c>
      <c r="B9" s="70"/>
      <c r="C9" s="121">
        <f>DCF!C44</f>
        <v>130354</v>
      </c>
      <c r="D9" s="70"/>
    </row>
    <row r="10" spans="1:8" ht="15.75" customHeight="1" x14ac:dyDescent="0.2">
      <c r="A10" s="120" t="s">
        <v>163</v>
      </c>
      <c r="B10" s="70"/>
      <c r="C10" s="121">
        <f>DCF!C45</f>
        <v>1613849</v>
      </c>
      <c r="D10" s="70"/>
    </row>
    <row r="11" spans="1:8" ht="15.75" customHeight="1" x14ac:dyDescent="0.2">
      <c r="A11" s="122" t="s">
        <v>165</v>
      </c>
      <c r="B11" s="67"/>
      <c r="C11" s="123">
        <f>DCF!C47</f>
        <v>6343879.4261688814</v>
      </c>
      <c r="D11" s="67"/>
    </row>
    <row r="12" spans="1:8" ht="15.75" customHeight="1" x14ac:dyDescent="0.2">
      <c r="A12" s="120" t="s">
        <v>309</v>
      </c>
      <c r="B12" s="70"/>
      <c r="C12" s="124">
        <f>DCF!C48</f>
        <v>54208</v>
      </c>
      <c r="D12" s="70"/>
    </row>
    <row r="13" spans="1:8" ht="15.75" customHeight="1" x14ac:dyDescent="0.2">
      <c r="A13" s="122" t="s">
        <v>167</v>
      </c>
      <c r="B13" s="125">
        <f>IFERROR(DCF!I55,0)</f>
        <v>92.501379505274883</v>
      </c>
      <c r="C13" s="126">
        <f>DCF!C49</f>
        <v>117.02847229502807</v>
      </c>
      <c r="D13" s="125">
        <f>IFERROR(DCF!C60,0)</f>
        <v>232.56266118509322</v>
      </c>
    </row>
    <row r="14" spans="1:8" ht="15.75" customHeight="1" x14ac:dyDescent="0.2">
      <c r="A14" s="120" t="s">
        <v>168</v>
      </c>
      <c r="B14" s="72"/>
      <c r="C14" s="127">
        <f>DCF!C50</f>
        <v>79.540000000000006</v>
      </c>
      <c r="D14" s="72"/>
    </row>
    <row r="15" spans="1:8" ht="15.75" customHeight="1" x14ac:dyDescent="0.2">
      <c r="A15" s="128" t="s">
        <v>310</v>
      </c>
      <c r="B15" s="129">
        <f>IFERROR((DCF!I55-DCF!C50)/DCF!C50,"N/A")</f>
        <v>0.16295423064212819</v>
      </c>
      <c r="C15" s="129">
        <f>IFERROR(DCF!C51,"N/A")</f>
        <v>0.47131597051833113</v>
      </c>
      <c r="D15" s="129">
        <f>IFERROR((DCF!C60-DCF!C50)/DCF!C50,"N/A")</f>
        <v>1.9238453757240785</v>
      </c>
    </row>
    <row r="16" spans="1:8" ht="15" customHeight="1" x14ac:dyDescent="0.2">
      <c r="A16" s="2" t="s">
        <v>311</v>
      </c>
      <c r="B16" s="2"/>
      <c r="C16" s="2"/>
      <c r="D16" s="2"/>
      <c r="E16" s="2"/>
    </row>
    <row r="17" spans="1:5" ht="15.75" customHeight="1" x14ac:dyDescent="0.2">
      <c r="A17" s="9" t="s">
        <v>312</v>
      </c>
      <c r="B17" s="9"/>
      <c r="C17" s="9"/>
      <c r="D17" s="9"/>
    </row>
    <row r="18" spans="1:5" ht="18" customHeight="1" x14ac:dyDescent="0.2">
      <c r="A18" s="3" t="s">
        <v>313</v>
      </c>
      <c r="B18" s="3"/>
      <c r="C18" s="3"/>
      <c r="D18" s="3"/>
      <c r="E18" s="3"/>
    </row>
    <row r="19" spans="1:5" ht="15.75" customHeight="1" x14ac:dyDescent="0.2">
      <c r="A19" s="131" t="s">
        <v>242</v>
      </c>
      <c r="B19" s="132" t="s">
        <v>314</v>
      </c>
      <c r="C19" s="132" t="s">
        <v>207</v>
      </c>
      <c r="D19" s="132" t="s">
        <v>315</v>
      </c>
    </row>
    <row r="20" spans="1:5" ht="15.75" customHeight="1" x14ac:dyDescent="0.2">
      <c r="A20" s="133" t="s">
        <v>249</v>
      </c>
      <c r="B20" s="134">
        <f>('Comparable Companies '!G11*4040.65-1483.495)/54.208</f>
        <v>48.663813459268006</v>
      </c>
      <c r="C20" s="134">
        <f>('Comparable Companies '!G13*4040.65-1483.495)/54.208</f>
        <v>94.505750996162959</v>
      </c>
      <c r="D20" s="134">
        <f>('Comparable Companies '!G14*4040.65-1483.495)/54.208</f>
        <v>167.18199343270368</v>
      </c>
    </row>
    <row r="21" spans="1:5" ht="15.75" customHeight="1" x14ac:dyDescent="0.2">
      <c r="A21" s="135" t="s">
        <v>250</v>
      </c>
      <c r="B21" s="134">
        <f>('Comparable Companies '!H11*966.91-1483.495)/54.208</f>
        <v>129.68837717680046</v>
      </c>
      <c r="C21" s="134">
        <f>('Comparable Companies '!H13*966.91-1483.495)/54.208</f>
        <v>147.88215300324674</v>
      </c>
      <c r="D21" s="134">
        <f>('Comparable Companies '!H14*966.91-1483.495)/54.208</f>
        <v>203.93503588031285</v>
      </c>
    </row>
    <row r="22" spans="1:5" ht="15.75" customHeight="1" x14ac:dyDescent="0.2">
      <c r="A22" s="133" t="s">
        <v>316</v>
      </c>
      <c r="B22" s="134">
        <f>'Comparable Companies '!I11*682.88/54.208</f>
        <v>198.62954545454548</v>
      </c>
      <c r="C22" s="134">
        <f>'Comparable Companies '!I13*682.88/54.208</f>
        <v>214.47077922077921</v>
      </c>
      <c r="D22" s="134">
        <f>'Comparable Companies '!I14*682.88/54.208</f>
        <v>445.91655844155844</v>
      </c>
    </row>
    <row r="23" spans="1:5" ht="15" customHeight="1" x14ac:dyDescent="0.2">
      <c r="A23" s="2" t="s">
        <v>317</v>
      </c>
      <c r="B23" s="2"/>
      <c r="C23" s="2"/>
      <c r="D23" s="2"/>
      <c r="E23" s="2"/>
    </row>
    <row r="24" spans="1:5" ht="15.75" customHeight="1" x14ac:dyDescent="0.2">
      <c r="A24" s="9" t="s">
        <v>318</v>
      </c>
      <c r="B24" s="9"/>
      <c r="C24" s="9"/>
      <c r="D24" s="9"/>
    </row>
    <row r="25" spans="1:5" ht="18" customHeight="1" x14ac:dyDescent="0.2">
      <c r="A25" s="3" t="s">
        <v>319</v>
      </c>
      <c r="B25" s="3"/>
      <c r="C25" s="3"/>
      <c r="D25" s="3"/>
      <c r="E25" s="3"/>
    </row>
    <row r="26" spans="1:5" ht="15.75" customHeight="1" x14ac:dyDescent="0.2">
      <c r="A26" s="131" t="s">
        <v>320</v>
      </c>
      <c r="B26" s="132" t="s">
        <v>321</v>
      </c>
      <c r="C26" s="132" t="s">
        <v>322</v>
      </c>
      <c r="D26" s="119" t="s">
        <v>323</v>
      </c>
    </row>
    <row r="27" spans="1:5" ht="15.75" customHeight="1" x14ac:dyDescent="0.2">
      <c r="A27" s="133" t="s">
        <v>324</v>
      </c>
      <c r="B27" s="134">
        <f>IFERROR(DCF!I55,0)</f>
        <v>92.501379505274883</v>
      </c>
      <c r="C27" s="134">
        <f>IFERROR(DCF!C60,0)</f>
        <v>232.56266118509322</v>
      </c>
      <c r="D27" s="130" t="s">
        <v>325</v>
      </c>
    </row>
    <row r="28" spans="1:5" ht="15.75" customHeight="1" x14ac:dyDescent="0.2">
      <c r="A28" s="135" t="s">
        <v>326</v>
      </c>
      <c r="B28" s="134">
        <f>('Comparable Companies '!H11*966.91-1483.495)/54.208</f>
        <v>129.68837717680046</v>
      </c>
      <c r="C28" s="134">
        <f>('Comparable Companies '!H14*966.91-1483.495)/54.208</f>
        <v>203.93503588031285</v>
      </c>
      <c r="D28" s="130" t="s">
        <v>327</v>
      </c>
    </row>
    <row r="29" spans="1:5" ht="15.75" customHeight="1" x14ac:dyDescent="0.2">
      <c r="A29" s="133" t="s">
        <v>328</v>
      </c>
      <c r="B29" s="134">
        <f>('Comparable Companies '!G11*4040.65-1483.495)/54.208</f>
        <v>48.663813459268006</v>
      </c>
      <c r="C29" s="134">
        <f>('Comparable Companies '!G14*4040.65-1483.495)/54.208</f>
        <v>167.18199343270368</v>
      </c>
      <c r="D29" s="130" t="s">
        <v>327</v>
      </c>
    </row>
    <row r="30" spans="1:5" ht="15.75" customHeight="1" x14ac:dyDescent="0.2">
      <c r="A30" s="135" t="s">
        <v>329</v>
      </c>
      <c r="B30" s="127">
        <v>61.45</v>
      </c>
      <c r="C30" s="127">
        <v>149.69999999999999</v>
      </c>
      <c r="D30" s="130" t="s">
        <v>330</v>
      </c>
    </row>
    <row r="31" spans="1:5" ht="15" customHeight="1" x14ac:dyDescent="0.2">
      <c r="A31" s="120" t="s">
        <v>331</v>
      </c>
      <c r="B31" s="136">
        <v>85</v>
      </c>
      <c r="C31" s="136">
        <v>145</v>
      </c>
      <c r="D31" s="130" t="s">
        <v>332</v>
      </c>
    </row>
    <row r="32" spans="1:5" ht="15" customHeight="1" x14ac:dyDescent="0.2">
      <c r="A32" s="137" t="s">
        <v>333</v>
      </c>
      <c r="B32" s="138">
        <v>79.540000000000006</v>
      </c>
      <c r="C32" s="138">
        <v>79.540000000000006</v>
      </c>
    </row>
    <row r="34" spans="1:5" ht="15" customHeight="1" x14ac:dyDescent="0.2">
      <c r="A34" s="1" t="s">
        <v>334</v>
      </c>
      <c r="B34" s="1"/>
      <c r="C34" s="1"/>
      <c r="D34" s="1"/>
      <c r="E34" s="1"/>
    </row>
    <row r="35" spans="1:5" ht="15" customHeight="1" x14ac:dyDescent="0.2">
      <c r="A35" s="212" t="s">
        <v>335</v>
      </c>
      <c r="B35" s="212"/>
      <c r="C35" s="212"/>
      <c r="D35" s="212"/>
      <c r="E35" s="212"/>
    </row>
    <row r="36" spans="1:5" ht="45" customHeight="1" x14ac:dyDescent="0.2">
      <c r="A36" s="213" t="s">
        <v>336</v>
      </c>
      <c r="B36" s="213"/>
      <c r="C36" s="213"/>
      <c r="D36" s="213"/>
      <c r="E36" s="213"/>
    </row>
  </sheetData>
  <mergeCells count="12">
    <mergeCell ref="A35:E35"/>
    <mergeCell ref="A36:E36"/>
    <mergeCell ref="A18:E18"/>
    <mergeCell ref="A23:E23"/>
    <mergeCell ref="A24:D24"/>
    <mergeCell ref="A25:E25"/>
    <mergeCell ref="A34:E34"/>
    <mergeCell ref="A1:H1"/>
    <mergeCell ref="A2:H2"/>
    <mergeCell ref="A4:D4"/>
    <mergeCell ref="A16:E16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9"/>
  <sheetViews>
    <sheetView showGridLines="0" zoomScaleNormal="100" workbookViewId="0">
      <selection activeCell="N34" sqref="N34"/>
    </sheetView>
  </sheetViews>
  <sheetFormatPr baseColWidth="10" defaultColWidth="8.6640625" defaultRowHeight="15" x14ac:dyDescent="0.2"/>
  <cols>
    <col min="1" max="1" width="25.6640625" customWidth="1"/>
    <col min="2" max="2" width="10" customWidth="1"/>
    <col min="3" max="13" width="13" customWidth="1"/>
  </cols>
  <sheetData>
    <row r="1" spans="1:13" ht="25.5" customHeight="1" x14ac:dyDescent="0.2">
      <c r="A1" s="17" t="s">
        <v>14</v>
      </c>
    </row>
    <row r="2" spans="1:13" ht="15" customHeight="1" x14ac:dyDescent="0.2">
      <c r="A2" s="18" t="s">
        <v>224</v>
      </c>
    </row>
    <row r="4" spans="1:13" ht="30" customHeight="1" x14ac:dyDescent="0.2">
      <c r="A4" s="99" t="s">
        <v>192</v>
      </c>
      <c r="B4" s="99" t="s">
        <v>193</v>
      </c>
      <c r="C4" s="99" t="s">
        <v>225</v>
      </c>
      <c r="D4" s="99" t="s">
        <v>226</v>
      </c>
      <c r="E4" s="99" t="s">
        <v>227</v>
      </c>
      <c r="F4" s="99" t="s">
        <v>228</v>
      </c>
      <c r="G4" s="99" t="s">
        <v>229</v>
      </c>
      <c r="H4" s="99" t="s">
        <v>230</v>
      </c>
      <c r="I4" s="99" t="s">
        <v>231</v>
      </c>
      <c r="J4" s="100"/>
      <c r="K4" s="100"/>
      <c r="L4" s="100"/>
      <c r="M4" s="100"/>
    </row>
    <row r="5" spans="1:13" ht="15.75" customHeight="1" x14ac:dyDescent="0.2">
      <c r="A5" s="87" t="s">
        <v>200</v>
      </c>
      <c r="B5" s="101" t="s">
        <v>232</v>
      </c>
      <c r="C5" s="31">
        <v>2410</v>
      </c>
      <c r="D5" s="31">
        <v>2820</v>
      </c>
      <c r="E5" s="31">
        <v>2530</v>
      </c>
      <c r="F5">
        <v>203.76</v>
      </c>
      <c r="G5">
        <v>1.1100000000000001</v>
      </c>
      <c r="H5">
        <v>13.86</v>
      </c>
      <c r="I5">
        <v>52.7</v>
      </c>
      <c r="J5" s="102"/>
      <c r="K5" s="102"/>
      <c r="L5" s="102"/>
      <c r="M5" s="102"/>
    </row>
    <row r="6" spans="1:13" ht="15.75" customHeight="1" x14ac:dyDescent="0.2">
      <c r="A6" s="87" t="s">
        <v>201</v>
      </c>
      <c r="B6" s="101" t="s">
        <v>233</v>
      </c>
      <c r="C6" s="31">
        <v>1290</v>
      </c>
      <c r="D6" s="31">
        <v>1860</v>
      </c>
      <c r="E6" s="31">
        <v>1870</v>
      </c>
      <c r="F6">
        <v>199.1</v>
      </c>
      <c r="G6">
        <v>0.99</v>
      </c>
      <c r="H6">
        <v>9.36</v>
      </c>
      <c r="I6">
        <v>17.12</v>
      </c>
      <c r="J6" s="102"/>
      <c r="K6" s="102"/>
      <c r="L6" s="102"/>
      <c r="M6" s="102"/>
    </row>
    <row r="7" spans="1:13" ht="15.75" customHeight="1" x14ac:dyDescent="0.2">
      <c r="A7" s="87" t="s">
        <v>202</v>
      </c>
      <c r="B7" s="101" t="s">
        <v>234</v>
      </c>
      <c r="C7" s="31">
        <v>2860</v>
      </c>
      <c r="D7" s="31">
        <v>2550</v>
      </c>
      <c r="E7" s="31">
        <v>3400</v>
      </c>
      <c r="F7">
        <v>295.39</v>
      </c>
      <c r="G7">
        <v>0.75</v>
      </c>
      <c r="H7">
        <v>8.6199999999999992</v>
      </c>
      <c r="I7">
        <v>16.93</v>
      </c>
      <c r="J7" s="102"/>
      <c r="K7" s="102"/>
      <c r="L7" s="102"/>
      <c r="M7" s="102"/>
    </row>
    <row r="8" spans="1:13" ht="15.75" customHeight="1" x14ac:dyDescent="0.2">
      <c r="A8" s="87" t="s">
        <v>203</v>
      </c>
      <c r="B8" s="101" t="s">
        <v>235</v>
      </c>
      <c r="C8" s="31">
        <v>13350</v>
      </c>
      <c r="D8" s="31">
        <v>11610</v>
      </c>
      <c r="E8" s="31">
        <v>5370</v>
      </c>
      <c r="F8" s="31">
        <v>1350</v>
      </c>
      <c r="G8">
        <v>2.16</v>
      </c>
      <c r="H8">
        <v>8.57</v>
      </c>
      <c r="I8">
        <v>15.38</v>
      </c>
      <c r="J8" s="102"/>
      <c r="K8" s="102"/>
      <c r="L8" s="102"/>
      <c r="M8" s="102"/>
    </row>
    <row r="9" spans="1:13" ht="15.75" customHeight="1" x14ac:dyDescent="0.2">
      <c r="A9" s="87" t="s">
        <v>204</v>
      </c>
      <c r="B9" s="101" t="s">
        <v>236</v>
      </c>
      <c r="C9" s="31">
        <v>10720</v>
      </c>
      <c r="D9" s="31">
        <v>10020</v>
      </c>
      <c r="E9" s="31">
        <v>3630</v>
      </c>
      <c r="F9">
        <v>695.24</v>
      </c>
      <c r="G9">
        <v>2.76</v>
      </c>
      <c r="H9">
        <v>14.41</v>
      </c>
      <c r="I9">
        <v>41.49</v>
      </c>
      <c r="J9" s="102"/>
      <c r="K9" s="102"/>
      <c r="L9" s="102"/>
      <c r="M9" s="102"/>
    </row>
    <row r="10" spans="1:13" ht="15.75" customHeight="1" x14ac:dyDescent="0.2">
      <c r="A10" s="87" t="s">
        <v>205</v>
      </c>
      <c r="B10" s="101" t="s">
        <v>237</v>
      </c>
      <c r="C10" s="31">
        <v>6290</v>
      </c>
      <c r="D10" s="31">
        <v>7600</v>
      </c>
      <c r="E10" s="31">
        <v>2410</v>
      </c>
      <c r="F10">
        <v>738.67</v>
      </c>
      <c r="G10">
        <v>3.15</v>
      </c>
      <c r="H10">
        <v>10.29</v>
      </c>
      <c r="I10">
        <v>14.57</v>
      </c>
      <c r="J10" s="102"/>
      <c r="K10" s="102"/>
      <c r="L10" s="102"/>
      <c r="M10" s="102"/>
    </row>
    <row r="11" spans="1:13" ht="15.75" customHeight="1" x14ac:dyDescent="0.2">
      <c r="A11" s="103" t="s">
        <v>238</v>
      </c>
      <c r="B11" s="104"/>
      <c r="C11" s="104">
        <f t="shared" ref="C11:I11" si="0">QUARTILE(C5:C10,1)</f>
        <v>2522.5</v>
      </c>
      <c r="D11" s="104">
        <f t="shared" si="0"/>
        <v>2617.5</v>
      </c>
      <c r="E11" s="104">
        <f t="shared" si="0"/>
        <v>2440</v>
      </c>
      <c r="F11" s="104">
        <f t="shared" si="0"/>
        <v>226.66749999999999</v>
      </c>
      <c r="G11" s="105">
        <f t="shared" si="0"/>
        <v>1.02</v>
      </c>
      <c r="H11" s="105">
        <f t="shared" si="0"/>
        <v>8.8049999999999997</v>
      </c>
      <c r="I11" s="105">
        <f t="shared" si="0"/>
        <v>15.7675</v>
      </c>
      <c r="J11" s="102"/>
      <c r="K11" s="102"/>
      <c r="L11" s="102"/>
      <c r="M11" s="102"/>
    </row>
    <row r="12" spans="1:13" ht="15.75" customHeight="1" x14ac:dyDescent="0.2">
      <c r="A12" s="103" t="s">
        <v>206</v>
      </c>
      <c r="B12" s="104"/>
      <c r="C12" s="104">
        <f t="shared" ref="C12:I12" si="1">AVERAGE(C5:C10)</f>
        <v>6153.333333333333</v>
      </c>
      <c r="D12" s="104">
        <f t="shared" si="1"/>
        <v>6076.666666666667</v>
      </c>
      <c r="E12" s="104">
        <f t="shared" si="1"/>
        <v>3201.6666666666665</v>
      </c>
      <c r="F12" s="104">
        <f t="shared" si="1"/>
        <v>580.36</v>
      </c>
      <c r="G12" s="105">
        <f t="shared" si="1"/>
        <v>1.82</v>
      </c>
      <c r="H12" s="105">
        <f t="shared" si="1"/>
        <v>10.851666666666665</v>
      </c>
      <c r="I12" s="105">
        <f t="shared" si="1"/>
        <v>26.364999999999998</v>
      </c>
      <c r="J12" s="102"/>
      <c r="K12" s="102"/>
      <c r="L12" s="102"/>
      <c r="M12" s="102"/>
    </row>
    <row r="13" spans="1:13" ht="15.75" customHeight="1" x14ac:dyDescent="0.2">
      <c r="A13" s="103" t="s">
        <v>207</v>
      </c>
      <c r="B13" s="104"/>
      <c r="C13" s="104">
        <f t="shared" ref="C13:I13" si="2">MEDIAN(C5:C10)</f>
        <v>4575</v>
      </c>
      <c r="D13" s="104">
        <f t="shared" si="2"/>
        <v>5210</v>
      </c>
      <c r="E13" s="104">
        <f t="shared" si="2"/>
        <v>2965</v>
      </c>
      <c r="F13" s="104">
        <f t="shared" si="2"/>
        <v>495.315</v>
      </c>
      <c r="G13" s="105">
        <f t="shared" si="2"/>
        <v>1.6350000000000002</v>
      </c>
      <c r="H13" s="105">
        <f t="shared" si="2"/>
        <v>9.8249999999999993</v>
      </c>
      <c r="I13" s="105">
        <f t="shared" si="2"/>
        <v>17.024999999999999</v>
      </c>
      <c r="J13" s="102"/>
      <c r="K13" s="102"/>
      <c r="L13" s="102"/>
      <c r="M13" s="102"/>
    </row>
    <row r="14" spans="1:13" ht="15.75" customHeight="1" x14ac:dyDescent="0.2">
      <c r="A14" s="103" t="s">
        <v>239</v>
      </c>
      <c r="B14" s="104"/>
      <c r="C14" s="104">
        <f t="shared" ref="C14:I14" si="3">QUARTILE(C5:C10,3)</f>
        <v>9612.5</v>
      </c>
      <c r="D14" s="104">
        <f t="shared" si="3"/>
        <v>9415</v>
      </c>
      <c r="E14" s="104">
        <f t="shared" si="3"/>
        <v>3572.5</v>
      </c>
      <c r="F14" s="104">
        <f t="shared" si="3"/>
        <v>727.8125</v>
      </c>
      <c r="G14" s="105">
        <f t="shared" si="3"/>
        <v>2.61</v>
      </c>
      <c r="H14" s="105">
        <f t="shared" si="3"/>
        <v>12.967499999999999</v>
      </c>
      <c r="I14" s="105">
        <f t="shared" si="3"/>
        <v>35.397500000000001</v>
      </c>
      <c r="J14" s="102"/>
      <c r="K14" s="102"/>
      <c r="L14" s="102"/>
      <c r="M14" s="102"/>
    </row>
    <row r="15" spans="1:13" ht="15" customHeight="1" x14ac:dyDescent="0.2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</row>
    <row r="16" spans="1:13" ht="19.5" customHeight="1" x14ac:dyDescent="0.2">
      <c r="A16" s="102" t="s">
        <v>240</v>
      </c>
      <c r="B16" s="102"/>
      <c r="C16" s="31">
        <v>4000</v>
      </c>
      <c r="D16" s="31">
        <v>5480</v>
      </c>
      <c r="E16" s="107">
        <v>4040.65</v>
      </c>
      <c r="F16">
        <v>966.91</v>
      </c>
      <c r="G16">
        <v>1.36</v>
      </c>
      <c r="H16">
        <v>5.54</v>
      </c>
      <c r="I16">
        <v>34.19</v>
      </c>
      <c r="J16" s="102"/>
      <c r="K16" s="102"/>
      <c r="L16" s="102"/>
      <c r="M16" s="102"/>
    </row>
    <row r="17" spans="1:13" ht="15" customHeight="1" x14ac:dyDescent="0.2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</row>
    <row r="18" spans="1:13" ht="15.75" customHeight="1" x14ac:dyDescent="0.2">
      <c r="A18" s="7" t="s">
        <v>241</v>
      </c>
      <c r="B18" s="7"/>
      <c r="C18" s="7"/>
      <c r="D18" s="7"/>
      <c r="E18" s="7"/>
      <c r="F18" s="7"/>
      <c r="G18" s="7"/>
      <c r="H18" s="7"/>
      <c r="I18" s="7"/>
      <c r="J18" s="106"/>
      <c r="K18" s="106"/>
      <c r="L18" s="106"/>
      <c r="M18" s="106"/>
    </row>
    <row r="19" spans="1:13" ht="30" customHeight="1" x14ac:dyDescent="0.2">
      <c r="A19" s="108" t="s">
        <v>242</v>
      </c>
      <c r="B19" s="108" t="s">
        <v>243</v>
      </c>
      <c r="C19" s="108" t="s">
        <v>244</v>
      </c>
      <c r="D19" s="108" t="s">
        <v>245</v>
      </c>
      <c r="E19" s="108" t="s">
        <v>246</v>
      </c>
      <c r="F19" s="108" t="s">
        <v>247</v>
      </c>
      <c r="G19" s="108" t="s">
        <v>248</v>
      </c>
      <c r="H19" s="100"/>
      <c r="I19" s="100"/>
      <c r="J19" s="100"/>
      <c r="K19" s="100"/>
      <c r="L19" s="100"/>
      <c r="M19" s="100"/>
    </row>
    <row r="20" spans="1:13" ht="15.75" customHeight="1" x14ac:dyDescent="0.2">
      <c r="A20" s="87" t="s">
        <v>249</v>
      </c>
      <c r="B20" s="109">
        <f>G13</f>
        <v>1.6350000000000002</v>
      </c>
      <c r="C20" s="109">
        <f>E16</f>
        <v>4040.65</v>
      </c>
      <c r="D20" s="109">
        <f>B20*C20</f>
        <v>6606.4627500000015</v>
      </c>
      <c r="E20" s="31">
        <f>('Balance Sheet'!H27+'Balance Sheet'!H32-'Balance Sheet'!H8)/1000</f>
        <v>1483.4949999999999</v>
      </c>
      <c r="F20" s="109">
        <f>D20-E20</f>
        <v>5122.9677500000016</v>
      </c>
      <c r="G20" s="109">
        <f>F20/54.21</f>
        <v>94.502264342372285</v>
      </c>
      <c r="H20" s="110"/>
      <c r="I20" s="110"/>
      <c r="J20" s="110"/>
      <c r="K20" s="110"/>
      <c r="L20" s="110"/>
      <c r="M20" s="110"/>
    </row>
    <row r="21" spans="1:13" ht="15.75" customHeight="1" x14ac:dyDescent="0.2">
      <c r="A21" s="87" t="s">
        <v>250</v>
      </c>
      <c r="B21" s="109">
        <f>H13</f>
        <v>9.8249999999999993</v>
      </c>
      <c r="C21" s="109">
        <f>F16</f>
        <v>966.91</v>
      </c>
      <c r="D21" s="109">
        <f>B21*C21</f>
        <v>9499.8907499999987</v>
      </c>
      <c r="E21" s="109">
        <f>E20</f>
        <v>1483.4949999999999</v>
      </c>
      <c r="F21" s="109">
        <f>D21-E21</f>
        <v>8016.3957499999988</v>
      </c>
      <c r="G21" s="109">
        <f>F21/54.21</f>
        <v>147.87669710385535</v>
      </c>
      <c r="H21" s="110"/>
      <c r="I21" s="110"/>
      <c r="J21" s="110"/>
      <c r="K21" s="110"/>
      <c r="L21" s="110"/>
      <c r="M21" s="110"/>
    </row>
    <row r="22" spans="1:13" ht="15.75" customHeight="1" x14ac:dyDescent="0.2">
      <c r="A22" s="87" t="s">
        <v>251</v>
      </c>
      <c r="B22" s="109">
        <f>I13</f>
        <v>17.024999999999999</v>
      </c>
      <c r="C22" s="109">
        <v>682.88</v>
      </c>
      <c r="D22" s="109" t="s">
        <v>252</v>
      </c>
      <c r="E22" s="109" t="s">
        <v>252</v>
      </c>
      <c r="F22" s="109">
        <f>B22*C22</f>
        <v>11626.031999999999</v>
      </c>
      <c r="G22" s="109">
        <f>F22/54.21</f>
        <v>214.46286662977309</v>
      </c>
      <c r="H22" s="110"/>
      <c r="I22" s="110"/>
      <c r="J22" s="110"/>
      <c r="K22" s="110"/>
      <c r="L22" s="110"/>
      <c r="M22" s="110"/>
    </row>
    <row r="23" spans="1:13" ht="15.75" customHeight="1" x14ac:dyDescent="0.2">
      <c r="A23" s="106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5" customHeight="1" x14ac:dyDescent="0.2">
      <c r="A24" s="6" t="s">
        <v>253</v>
      </c>
      <c r="B24" s="6"/>
      <c r="C24" s="6"/>
      <c r="D24" s="6"/>
      <c r="E24" s="6"/>
      <c r="F24" s="6"/>
      <c r="G24" s="6"/>
      <c r="H24" s="6"/>
      <c r="I24" s="6"/>
      <c r="J24" s="106"/>
      <c r="K24" s="106"/>
      <c r="L24" s="106"/>
      <c r="M24" s="106"/>
    </row>
    <row r="25" spans="1:13" ht="15" customHeight="1" x14ac:dyDescent="0.2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</row>
    <row r="26" spans="1:13" ht="15" customHeight="1" x14ac:dyDescent="0.2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</row>
    <row r="27" spans="1:13" ht="15" customHeight="1" x14ac:dyDescent="0.2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</row>
    <row r="28" spans="1:13" ht="15" customHeight="1" x14ac:dyDescent="0.2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</row>
    <row r="29" spans="1:13" ht="15" customHeight="1" x14ac:dyDescent="0.2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</row>
  </sheetData>
  <mergeCells count="2">
    <mergeCell ref="A18:I18"/>
    <mergeCell ref="A24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2"/>
  <sheetViews>
    <sheetView showGridLines="0" zoomScaleNormal="100" workbookViewId="0">
      <pane xSplit="2" ySplit="4" topLeftCell="C12" activePane="bottomRight" state="frozen"/>
      <selection pane="topRight" activeCell="C1" sqref="C1"/>
      <selection pane="bottomLeft" activeCell="A16" sqref="A16"/>
      <selection pane="bottomRight" activeCell="J47" sqref="J47"/>
    </sheetView>
  </sheetViews>
  <sheetFormatPr baseColWidth="10" defaultColWidth="8.6640625" defaultRowHeight="15" x14ac:dyDescent="0.2"/>
  <cols>
    <col min="1" max="1" width="36" customWidth="1"/>
    <col min="2" max="2" width="2" customWidth="1"/>
    <col min="3" max="12" width="12" customWidth="1"/>
  </cols>
  <sheetData>
    <row r="1" spans="1:13" ht="25.5" customHeight="1" x14ac:dyDescent="0.2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15" customHeight="1" x14ac:dyDescent="0.2">
      <c r="A2" s="13" t="s">
        <v>254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3" ht="18" customHeight="1" x14ac:dyDescent="0.2">
      <c r="A4" s="19" t="s">
        <v>16</v>
      </c>
      <c r="C4" s="20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1" t="s">
        <v>255</v>
      </c>
      <c r="I4" s="21" t="s">
        <v>24</v>
      </c>
      <c r="J4" s="21" t="s">
        <v>25</v>
      </c>
      <c r="K4" s="21" t="s">
        <v>26</v>
      </c>
      <c r="L4" s="21" t="s">
        <v>27</v>
      </c>
    </row>
    <row r="5" spans="1:13" ht="15.75" customHeight="1" x14ac:dyDescent="0.2">
      <c r="A5" s="10" t="s">
        <v>256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3" ht="15" customHeight="1" x14ac:dyDescent="0.2">
      <c r="A6" s="22" t="s">
        <v>257</v>
      </c>
      <c r="C6" s="111">
        <f>'Income Statement'!C12/'Income Statement'!C6</f>
        <v>0.54110715313889168</v>
      </c>
      <c r="D6" s="111">
        <f>'Income Statement'!D12/'Income Statement'!D6</f>
        <v>0.61390601603861994</v>
      </c>
      <c r="E6" s="111">
        <f>'Income Statement'!E12/'Income Statement'!E6</f>
        <v>0.52328828391680982</v>
      </c>
      <c r="F6" s="111">
        <f>'Income Statement'!F12/'Income Statement'!F6</f>
        <v>0.55775276622668335</v>
      </c>
      <c r="G6" s="111">
        <f>'Income Statement'!G12/'Income Statement'!G6</f>
        <v>0.58756571011782233</v>
      </c>
      <c r="H6" s="112">
        <f>'Income Statement'!H12/'Income Statement'!H6</f>
        <v>0.58333603504587261</v>
      </c>
      <c r="I6" s="112">
        <f>'Income Statement'!I12/'Income Statement'!I6</f>
        <v>0.58499999999999996</v>
      </c>
      <c r="J6" s="112">
        <f>'Income Statement'!J12/'Income Statement'!J6</f>
        <v>0.58700000000000008</v>
      </c>
      <c r="K6" s="112">
        <f>'Income Statement'!K12/'Income Statement'!K6</f>
        <v>0.59</v>
      </c>
      <c r="L6" s="112">
        <f>'Income Statement'!L12/'Income Statement'!L6</f>
        <v>0.59200000000000008</v>
      </c>
      <c r="M6" s="25" t="s">
        <v>258</v>
      </c>
    </row>
    <row r="7" spans="1:13" ht="15" customHeight="1" x14ac:dyDescent="0.2">
      <c r="A7" s="22" t="s">
        <v>259</v>
      </c>
      <c r="C7" s="111">
        <f>'Income Statement'!C31/'Income Statement'!C6</f>
        <v>0.18962719461221933</v>
      </c>
      <c r="D7" s="111">
        <f>'Income Statement'!D31/'Income Statement'!D6</f>
        <v>0.30908405578590276</v>
      </c>
      <c r="E7" s="111">
        <f>'Income Statement'!E31/'Income Statement'!E6</f>
        <v>0.25034845435353453</v>
      </c>
      <c r="F7" s="111">
        <f>'Income Statement'!F31/'Income Statement'!F6</f>
        <v>0.27770763136090809</v>
      </c>
      <c r="G7" s="111">
        <f>'Income Statement'!G31/'Income Statement'!G6</f>
        <v>0.27201453496592481</v>
      </c>
      <c r="H7" s="112">
        <f>'Income Statement'!H31/'Income Statement'!H6</f>
        <v>0.2392963305134054</v>
      </c>
      <c r="I7" s="112">
        <f>'Income Statement'!I31/'Income Statement'!I6</f>
        <v>0.23500000000000001</v>
      </c>
      <c r="J7" s="112">
        <f>'Income Statement'!J31/'Income Statement'!J6</f>
        <v>0.24200000000000008</v>
      </c>
      <c r="K7" s="112">
        <f>'Income Statement'!K31/'Income Statement'!K6</f>
        <v>0.25</v>
      </c>
      <c r="L7" s="112">
        <f>'Income Statement'!L31/'Income Statement'!L6</f>
        <v>0.25700000000000001</v>
      </c>
    </row>
    <row r="8" spans="1:13" ht="15" customHeight="1" x14ac:dyDescent="0.2">
      <c r="A8" s="22" t="s">
        <v>260</v>
      </c>
      <c r="C8" s="111">
        <f>'Income Statement'!C20/'Income Statement'!C6</f>
        <v>0.16969936166574431</v>
      </c>
      <c r="D8" s="111">
        <f>'Income Statement'!D20/'Income Statement'!D6</f>
        <v>0.2952620713265578</v>
      </c>
      <c r="E8" s="111">
        <f>'Income Statement'!E20/'Income Statement'!E6</f>
        <v>0.23931352734259076</v>
      </c>
      <c r="F8" s="111">
        <f>'Income Statement'!F20/'Income Statement'!F6</f>
        <v>0.264002622688018</v>
      </c>
      <c r="G8" s="111">
        <f>'Income Statement'!G20/'Income Statement'!G6</f>
        <v>0.25498914216788049</v>
      </c>
      <c r="H8" s="112">
        <f>'Income Statement'!H20/'Income Statement'!H6</f>
        <v>0.21967521538011114</v>
      </c>
      <c r="I8" s="112">
        <f>'Income Statement'!I20/'Income Statement'!I6</f>
        <v>0.21500000000000002</v>
      </c>
      <c r="J8" s="112">
        <f>'Income Statement'!J20/'Income Statement'!J6</f>
        <v>0.22200000000000006</v>
      </c>
      <c r="K8" s="112">
        <f>'Income Statement'!K20/'Income Statement'!K6</f>
        <v>0.23</v>
      </c>
      <c r="L8" s="112">
        <f>'Income Statement'!L20/'Income Statement'!L6</f>
        <v>0.23699999999999999</v>
      </c>
    </row>
    <row r="9" spans="1:13" ht="15" customHeight="1" x14ac:dyDescent="0.2">
      <c r="A9" s="22" t="s">
        <v>261</v>
      </c>
      <c r="C9" s="111">
        <f>'Income Statement'!C28/'Income Statement'!C6</f>
        <v>0.22573741784521964</v>
      </c>
      <c r="D9" s="111">
        <f>'Income Statement'!D28/'Income Statement'!D6</f>
        <v>0.3136893667200365</v>
      </c>
      <c r="E9" s="111">
        <f>'Income Statement'!E28/'Income Statement'!E6</f>
        <v>0.15194410102996214</v>
      </c>
      <c r="F9" s="111">
        <f>'Income Statement'!F28/'Income Statement'!F6</f>
        <v>0.20002437949023646</v>
      </c>
      <c r="G9" s="111">
        <f>'Income Statement'!G28/'Income Statement'!G6</f>
        <v>0.23160555499757685</v>
      </c>
      <c r="H9" s="112">
        <f>'Income Statement'!H28/'Income Statement'!H6</f>
        <v>-2.0095296619576025E-2</v>
      </c>
      <c r="I9" s="112">
        <f>'Income Statement'!I28/'Income Statement'!I6</f>
        <v>0.15225487154670905</v>
      </c>
      <c r="J9" s="112">
        <f>'Income Statement'!J28/'Income Statement'!J6</f>
        <v>0.15950780050999505</v>
      </c>
      <c r="K9" s="112">
        <f>'Income Statement'!K28/'Income Statement'!K6</f>
        <v>0.16770333058051756</v>
      </c>
      <c r="L9" s="112">
        <f>'Income Statement'!L28/'Income Statement'!L6</f>
        <v>0.175135634787384</v>
      </c>
    </row>
    <row r="10" spans="1:13" ht="15" customHeight="1" x14ac:dyDescent="0.2">
      <c r="A10" s="22" t="s">
        <v>262</v>
      </c>
      <c r="C10" s="111">
        <f>'Income Statement'!C28/'Balance Sheet'!C20</f>
        <v>0.27965903981593299</v>
      </c>
      <c r="D10" s="111">
        <f>'Income Statement'!D28/'Balance Sheet'!D20</f>
        <v>0.46968418218486174</v>
      </c>
      <c r="E10" s="111">
        <f>'Income Statement'!E28/'Balance Sheet'!E20</f>
        <v>0.11998741835760253</v>
      </c>
      <c r="F10" s="111">
        <f>'Income Statement'!F28/'Balance Sheet'!F20</f>
        <v>0.17067061397974173</v>
      </c>
      <c r="G10" s="111">
        <f>'Income Statement'!G28/'Balance Sheet'!G20</f>
        <v>0.19743158623593224</v>
      </c>
      <c r="H10" s="112">
        <f>'Income Statement'!H28/'Balance Sheet'!H20</f>
        <v>-1.9449787412419907E-2</v>
      </c>
      <c r="I10" s="112">
        <f>'Income Statement'!I28/'Balance Sheet'!I20</f>
        <v>0.14856190939784539</v>
      </c>
      <c r="J10" s="112">
        <f>'Income Statement'!J28/'Balance Sheet'!J20</f>
        <v>0.15917356561464222</v>
      </c>
      <c r="K10" s="112">
        <f>'Income Statement'!K28/'Balance Sheet'!K20</f>
        <v>0.17120795378234249</v>
      </c>
      <c r="L10" s="112">
        <f>'Income Statement'!L28/'Balance Sheet'!L20</f>
        <v>0.18184640886076409</v>
      </c>
    </row>
    <row r="11" spans="1:13" ht="15" customHeight="1" x14ac:dyDescent="0.2">
      <c r="A11" s="22" t="s">
        <v>263</v>
      </c>
      <c r="C11" s="111">
        <f>IFERROR('Income Statement'!C28/'Balance Sheet'!C44,"N/M")</f>
        <v>1.0764813355675371</v>
      </c>
      <c r="D11" s="111">
        <f>IFERROR('Income Statement'!D28/'Balance Sheet'!D44,"N/M")</f>
        <v>51.533446953557736</v>
      </c>
      <c r="E11" s="111">
        <f>IFERROR('Income Statement'!E28/'Balance Sheet'!E44,"N/M")</f>
        <v>0.66039678163561477</v>
      </c>
      <c r="F11" s="111">
        <f>IFERROR('Income Statement'!F28/'Balance Sheet'!F44,"N/M")</f>
        <v>0.54512240331847006</v>
      </c>
      <c r="G11" s="111">
        <f>IFERROR('Income Statement'!G28/'Balance Sheet'!G44,"N/M")</f>
        <v>0.51754341047603902</v>
      </c>
      <c r="H11" s="112">
        <f>IFERROR('Income Statement'!H28/'Balance Sheet'!H44,"N/M")</f>
        <v>-6.2784402176476461E-2</v>
      </c>
      <c r="I11" s="112">
        <f>IFERROR('Income Statement'!I28/'Balance Sheet'!I44,"N/M")</f>
        <v>0.45037232482969797</v>
      </c>
      <c r="J11" s="112">
        <f>IFERROR('Income Statement'!J28/'Balance Sheet'!J44,"N/M")</f>
        <v>0.44543475126697624</v>
      </c>
      <c r="K11" s="112">
        <f>IFERROR('Income Statement'!K28/'Balance Sheet'!K44,"N/M")</f>
        <v>0.43643897674820026</v>
      </c>
      <c r="L11" s="112">
        <f>IFERROR('Income Statement'!L28/'Balance Sheet'!L44,"N/M")</f>
        <v>0.41890828021163951</v>
      </c>
    </row>
    <row r="12" spans="1:13" ht="15" customHeight="1" x14ac:dyDescent="0.2">
      <c r="A12" s="22" t="s">
        <v>264</v>
      </c>
      <c r="C12" s="111">
        <f>IFERROR('Income Statement'!C20*(1-0.215)/('Balance Sheet'!C44+'Balance Sheet'!C27+'Balance Sheet'!C32),"N/M")</f>
        <v>0.2780132977361775</v>
      </c>
      <c r="D12" s="111">
        <f>IFERROR('Income Statement'!D20*(1-0.215)/('Balance Sheet'!D44+'Balance Sheet'!D27+'Balance Sheet'!D32),"N/M")</f>
        <v>0.54846844598375066</v>
      </c>
      <c r="E12" s="111">
        <f>IFERROR('Income Statement'!E20*(1-0.215)/('Balance Sheet'!E44+'Balance Sheet'!E27+'Balance Sheet'!E32),"N/M")</f>
        <v>0.19568239280727948</v>
      </c>
      <c r="F12" s="111">
        <f>IFERROR('Income Statement'!F20*(1-0.215)/('Balance Sheet'!F44+'Balance Sheet'!F27+'Balance Sheet'!F32),"N/M")</f>
        <v>0.23799930324555987</v>
      </c>
      <c r="G12" s="111">
        <f>IFERROR('Income Statement'!G20*(1-0.215)/('Balance Sheet'!G44+'Balance Sheet'!G27+'Balance Sheet'!G32),"N/M")</f>
        <v>0.23214532228752502</v>
      </c>
      <c r="H12" s="112">
        <f>IFERROR('Income Statement'!H20*(1-0.215)/('Balance Sheet'!H44+'Balance Sheet'!H27+'Balance Sheet'!H32),"N/M")</f>
        <v>0.23968280422079219</v>
      </c>
      <c r="I12" s="112">
        <f>IFERROR('Income Statement'!I20*(1-0.215)/('Balance Sheet'!I44+'Balance Sheet'!I27+'Balance Sheet'!I32),"N/M")</f>
        <v>0.23973561763172607</v>
      </c>
      <c r="J12" s="112">
        <f>IFERROR('Income Statement'!J20*(1-0.215)/('Balance Sheet'!J44+'Balance Sheet'!J27+'Balance Sheet'!J32),"N/M")</f>
        <v>0.25504721785671047</v>
      </c>
      <c r="K12" s="112">
        <f>IFERROR('Income Statement'!K20*(1-0.215)/('Balance Sheet'!K44+'Balance Sheet'!K27+'Balance Sheet'!K32),"N/M")</f>
        <v>0.27138461589537538</v>
      </c>
      <c r="L12" s="112">
        <f>IFERROR('Income Statement'!L20*(1-0.215)/('Balance Sheet'!L44+'Balance Sheet'!L27+'Balance Sheet'!L32),"N/M")</f>
        <v>0.2842053558737237</v>
      </c>
    </row>
    <row r="14" spans="1:13" ht="15.75" customHeight="1" x14ac:dyDescent="0.2">
      <c r="A14" s="10" t="s">
        <v>265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3" ht="15" customHeight="1" x14ac:dyDescent="0.2">
      <c r="A15" s="22" t="s">
        <v>266</v>
      </c>
      <c r="C15" s="113">
        <f>'Balance Sheet'!C12/'Balance Sheet'!C29</f>
        <v>1.6902196279631256</v>
      </c>
      <c r="D15" s="113">
        <f>'Balance Sheet'!D12/'Balance Sheet'!D29</f>
        <v>1.7168860739279266</v>
      </c>
      <c r="E15" s="113">
        <f>'Balance Sheet'!E12/'Balance Sheet'!E29</f>
        <v>1.5999011343045251</v>
      </c>
      <c r="F15" s="113">
        <f>'Balance Sheet'!F12/'Balance Sheet'!F29</f>
        <v>1.3041804621535853</v>
      </c>
      <c r="G15" s="113">
        <f>'Balance Sheet'!G12/'Balance Sheet'!G29</f>
        <v>1.1784106629487927</v>
      </c>
      <c r="H15" s="114">
        <f>'Balance Sheet'!H12/'Balance Sheet'!H29</f>
        <v>1.2653139635695707</v>
      </c>
      <c r="I15" s="114">
        <f>'Balance Sheet'!I12/'Balance Sheet'!I29</f>
        <v>1.1729194124688456</v>
      </c>
      <c r="J15" s="114">
        <f>'Balance Sheet'!J12/'Balance Sheet'!J29</f>
        <v>1.1350838616221308</v>
      </c>
      <c r="K15" s="114">
        <f>'Balance Sheet'!K12/'Balance Sheet'!K29</f>
        <v>1.1650544884579335</v>
      </c>
      <c r="L15" s="114">
        <f>'Balance Sheet'!L12/'Balance Sheet'!L29</f>
        <v>1.2668031257980572</v>
      </c>
      <c r="M15" s="25" t="s">
        <v>267</v>
      </c>
    </row>
    <row r="16" spans="1:13" ht="15" customHeight="1" x14ac:dyDescent="0.2">
      <c r="A16" s="22" t="s">
        <v>268</v>
      </c>
      <c r="C16" s="113">
        <f>('Balance Sheet'!C12-'Balance Sheet'!C10)/'Balance Sheet'!C29</f>
        <v>1.0896345478489904</v>
      </c>
      <c r="D16" s="113">
        <f>('Balance Sheet'!D12-'Balance Sheet'!D10)/'Balance Sheet'!D29</f>
        <v>1.1669212323209948</v>
      </c>
      <c r="E16" s="113">
        <f>('Balance Sheet'!E12-'Balance Sheet'!E10)/'Balance Sheet'!E29</f>
        <v>0.86456647236594653</v>
      </c>
      <c r="F16" s="113">
        <f>('Balance Sheet'!F12-'Balance Sheet'!F10)/'Balance Sheet'!F29</f>
        <v>0.75276100679368063</v>
      </c>
      <c r="G16" s="113">
        <f>('Balance Sheet'!G12-'Balance Sheet'!G10)/'Balance Sheet'!G29</f>
        <v>0.69712161986900978</v>
      </c>
      <c r="H16" s="114">
        <f>('Balance Sheet'!H12-'Balance Sheet'!H10)/'Balance Sheet'!H29</f>
        <v>0.73871529389583923</v>
      </c>
      <c r="I16" s="114">
        <f>('Balance Sheet'!I12-'Balance Sheet'!I10)/'Balance Sheet'!I29</f>
        <v>0.67109198911447598</v>
      </c>
      <c r="J16" s="114">
        <f>('Balance Sheet'!J12-'Balance Sheet'!J10)/'Balance Sheet'!J29</f>
        <v>0.63389904131643671</v>
      </c>
      <c r="K16" s="114">
        <f>('Balance Sheet'!K12-'Balance Sheet'!K10)/'Balance Sheet'!K29</f>
        <v>0.6642794655438965</v>
      </c>
      <c r="L16" s="114">
        <f>('Balance Sheet'!L12-'Balance Sheet'!L10)/'Balance Sheet'!L29</f>
        <v>0.7652946477933863</v>
      </c>
    </row>
    <row r="17" spans="1:13" ht="15" customHeight="1" x14ac:dyDescent="0.2">
      <c r="A17" s="22" t="s">
        <v>269</v>
      </c>
      <c r="C17" s="113">
        <f>'Balance Sheet'!C8/'Balance Sheet'!C29</f>
        <v>0.4657388608428446</v>
      </c>
      <c r="D17" s="113">
        <f>'Balance Sheet'!D8/'Balance Sheet'!D29</f>
        <v>0.54913288842297225</v>
      </c>
      <c r="E17" s="113">
        <f>'Balance Sheet'!E8/'Balance Sheet'!E29</f>
        <v>0.29882546306259106</v>
      </c>
      <c r="F17" s="113">
        <f>'Balance Sheet'!F8/'Balance Sheet'!F29</f>
        <v>0.21378899492478834</v>
      </c>
      <c r="G17" s="113">
        <f>'Balance Sheet'!G8/'Balance Sheet'!G29</f>
        <v>0.24383011261699414</v>
      </c>
      <c r="H17" s="114">
        <f>'Balance Sheet'!H8/'Balance Sheet'!H29</f>
        <v>0.18618568863737969</v>
      </c>
      <c r="I17" s="114">
        <f>'Balance Sheet'!I8/'Balance Sheet'!I29</f>
        <v>0.16015712891716447</v>
      </c>
      <c r="J17" s="114">
        <f>'Balance Sheet'!J8/'Balance Sheet'!J29</f>
        <v>0.12114735400825415</v>
      </c>
      <c r="K17" s="114">
        <f>'Balance Sheet'!K8/'Balance Sheet'!K29</f>
        <v>0.14819825946576895</v>
      </c>
      <c r="L17" s="114">
        <f>'Balance Sheet'!L8/'Balance Sheet'!L29</f>
        <v>0.24592405348351062</v>
      </c>
    </row>
    <row r="18" spans="1:13" ht="15" customHeight="1" x14ac:dyDescent="0.2">
      <c r="A18" s="22" t="s">
        <v>270</v>
      </c>
      <c r="C18" s="113">
        <f>'Cash Flow Statement'!C19/'Balance Sheet'!C29</f>
        <v>0.91535200834064967</v>
      </c>
      <c r="D18" s="113">
        <f>'Cash Flow Statement'!D19/'Balance Sheet'!D29</f>
        <v>1.4608505497845421</v>
      </c>
      <c r="E18" s="113">
        <f>'Cash Flow Statement'!E19/'Balance Sheet'!E29</f>
        <v>0.94053711829888631</v>
      </c>
      <c r="F18" s="113">
        <f>'Cash Flow Statement'!F19/'Balance Sheet'!F29</f>
        <v>1.3324492765245683</v>
      </c>
      <c r="G18" s="113">
        <f>'Cash Flow Statement'!G19/'Balance Sheet'!G29</f>
        <v>1.3408204180446577</v>
      </c>
      <c r="H18" s="114">
        <f>'Cash Flow Statement'!H19/'Balance Sheet'!H29</f>
        <v>1.0147144311976792</v>
      </c>
      <c r="I18" s="114">
        <f>'Cash Flow Statement'!I19/'Balance Sheet'!I29</f>
        <v>1.072011087029636</v>
      </c>
      <c r="J18" s="114">
        <f>'Cash Flow Statement'!J19/'Balance Sheet'!J29</f>
        <v>1.04883833311157</v>
      </c>
      <c r="K18" s="114">
        <f>'Cash Flow Statement'!K19/'Balance Sheet'!K29</f>
        <v>1.0981914318372279</v>
      </c>
      <c r="L18" s="114">
        <f>'Cash Flow Statement'!L19/'Balance Sheet'!L29</f>
        <v>1.1449250709102734</v>
      </c>
    </row>
    <row r="20" spans="1:13" ht="15.75" customHeight="1" x14ac:dyDescent="0.2">
      <c r="A20" s="10" t="s">
        <v>271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3" ht="15" customHeight="1" x14ac:dyDescent="0.2">
      <c r="A21" s="22" t="s">
        <v>272</v>
      </c>
      <c r="C21" s="113">
        <f>IFERROR(('Balance Sheet'!C27+'Balance Sheet'!C32)/'Balance Sheet'!C44,"N/M")</f>
        <v>1.2850054880209749</v>
      </c>
      <c r="D21" s="113">
        <f>IFERROR(('Balance Sheet'!D27+'Balance Sheet'!D32)/'Balance Sheet'!D44,"N/M")</f>
        <v>68.424868626615535</v>
      </c>
      <c r="E21" s="113">
        <f>IFERROR(('Balance Sheet'!E27+'Balance Sheet'!E32)/'Balance Sheet'!E44,"N/M")</f>
        <v>3.1725952433640492</v>
      </c>
      <c r="F21" s="113">
        <f>IFERROR(('Balance Sheet'!F27+'Balance Sheet'!F32)/'Balance Sheet'!F44,"N/M")</f>
        <v>1.3730850946026716</v>
      </c>
      <c r="G21" s="113">
        <f>IFERROR(('Balance Sheet'!G27+'Balance Sheet'!G32)/'Balance Sheet'!G44,"N/M")</f>
        <v>0.92676708800631025</v>
      </c>
      <c r="H21" s="114">
        <f>IFERROR(('Balance Sheet'!H27+'Balance Sheet'!H32)/'Balance Sheet'!H44,"N/M")</f>
        <v>1.2478699557637423</v>
      </c>
      <c r="I21" s="114">
        <f>IFERROR(('Balance Sheet'!I27+'Balance Sheet'!I32)/'Balance Sheet'!I44,"N/M")</f>
        <v>1.0824570488903569</v>
      </c>
      <c r="J21" s="114">
        <f>IFERROR(('Balance Sheet'!J27+'Balance Sheet'!J32)/'Balance Sheet'!J44,"N/M")</f>
        <v>0.90811352727460404</v>
      </c>
      <c r="K21" s="114">
        <f>IFERROR(('Balance Sheet'!K27+'Balance Sheet'!K32)/'Balance Sheet'!K44,"N/M")</f>
        <v>0.73138682693257084</v>
      </c>
      <c r="L21" s="114">
        <f>IFERROR(('Balance Sheet'!L27+'Balance Sheet'!L32)/'Balance Sheet'!L44,"N/M")</f>
        <v>0.56577793519243047</v>
      </c>
      <c r="M21" s="25" t="s">
        <v>273</v>
      </c>
    </row>
    <row r="22" spans="1:13" ht="15" customHeight="1" x14ac:dyDescent="0.2">
      <c r="A22" s="22" t="s">
        <v>274</v>
      </c>
      <c r="C22" s="111">
        <f>IFERROR(('Balance Sheet'!C27+'Balance Sheet'!C32)/('Balance Sheet'!C27+'Balance Sheet'!C32+'Balance Sheet'!C44),"N/M")</f>
        <v>0.56236428960785911</v>
      </c>
      <c r="D22" s="111">
        <f>IFERROR(('Balance Sheet'!D27+'Balance Sheet'!D32)/('Balance Sheet'!D27+'Balance Sheet'!D32+'Balance Sheet'!D44),"N/M")</f>
        <v>0.98559593961382552</v>
      </c>
      <c r="E22" s="111">
        <f>IFERROR(('Balance Sheet'!E27+'Balance Sheet'!E32)/('Balance Sheet'!E27+'Balance Sheet'!E32+'Balance Sheet'!E44),"N/M")</f>
        <v>0.76034100082188294</v>
      </c>
      <c r="F22" s="111">
        <f>IFERROR(('Balance Sheet'!F27+'Balance Sheet'!F32)/('Balance Sheet'!F27+'Balance Sheet'!F32+'Balance Sheet'!F44),"N/M")</f>
        <v>0.57860760986852378</v>
      </c>
      <c r="G22" s="111">
        <f>IFERROR(('Balance Sheet'!G27+'Balance Sheet'!G32)/('Balance Sheet'!G27+'Balance Sheet'!G32+'Balance Sheet'!G44),"N/M")</f>
        <v>0.48099590956022964</v>
      </c>
      <c r="H22" s="112">
        <f>IFERROR(('Balance Sheet'!H27+'Balance Sheet'!H32)/('Balance Sheet'!H27+'Balance Sheet'!H32+'Balance Sheet'!H44),"N/M")</f>
        <v>0.5551344073815706</v>
      </c>
      <c r="I22" s="112">
        <f>IFERROR(('Balance Sheet'!I27+'Balance Sheet'!I32)/('Balance Sheet'!I27+'Balance Sheet'!I32+'Balance Sheet'!I44),"N/M")</f>
        <v>0.51979801910783574</v>
      </c>
      <c r="J22" s="112">
        <f>IFERROR(('Balance Sheet'!J27+'Balance Sheet'!J32)/('Balance Sheet'!J27+'Balance Sheet'!J32+'Balance Sheet'!J44),"N/M")</f>
        <v>0.4759221683060339</v>
      </c>
      <c r="K22" s="112">
        <f>IFERROR(('Balance Sheet'!K27+'Balance Sheet'!K32)/('Balance Sheet'!K27+'Balance Sheet'!K32+'Balance Sheet'!K44),"N/M")</f>
        <v>0.42242831905354145</v>
      </c>
      <c r="L22" s="112">
        <f>IFERROR(('Balance Sheet'!L27+'Balance Sheet'!L32)/('Balance Sheet'!L27+'Balance Sheet'!L32+'Balance Sheet'!L44),"N/M")</f>
        <v>0.36133983145119342</v>
      </c>
    </row>
    <row r="23" spans="1:13" ht="15" customHeight="1" x14ac:dyDescent="0.2">
      <c r="A23" s="22" t="s">
        <v>275</v>
      </c>
      <c r="C23" s="113">
        <f>IFERROR(('Balance Sheet'!C27+'Balance Sheet'!C32-'Balance Sheet'!C8)/'Income Statement'!C31,"N/M")</f>
        <v>0.90430114073070689</v>
      </c>
      <c r="D23" s="113">
        <f>IFERROR(('Balance Sheet'!D27+'Balance Sheet'!D32-'Balance Sheet'!D8)/'Income Statement'!D31,"N/M")</f>
        <v>1.0493986350413962</v>
      </c>
      <c r="E23" s="113">
        <f>IFERROR(('Balance Sheet'!E27+'Balance Sheet'!E32-'Balance Sheet'!E8)/'Income Statement'!E31,"N/M")</f>
        <v>2.7004219172233239</v>
      </c>
      <c r="F23" s="113">
        <f>IFERROR(('Balance Sheet'!F27+'Balance Sheet'!F32-'Balance Sheet'!F8)/'Income Statement'!F31,"N/M")</f>
        <v>1.6785856445172278</v>
      </c>
      <c r="G23" s="113">
        <f>IFERROR(('Balance Sheet'!G27+'Balance Sheet'!G32-'Balance Sheet'!G8)/'Income Statement'!G31,"N/M")</f>
        <v>1.3629378231330316</v>
      </c>
      <c r="H23" s="114">
        <f>IFERROR(('Balance Sheet'!H27+'Balance Sheet'!H32-'Balance Sheet'!H8)/'Income Statement'!H31,"N/M")</f>
        <v>1.5342606152369604</v>
      </c>
      <c r="I23" s="114">
        <f>IFERROR(('Balance Sheet'!I27+'Balance Sheet'!I32-'Balance Sheet'!I8)/'Income Statement'!I31,"N/M")</f>
        <v>1.4352075562106905</v>
      </c>
      <c r="J23" s="114">
        <f>IFERROR(('Balance Sheet'!J27+'Balance Sheet'!J32-'Balance Sheet'!J8)/'Income Statement'!J31,"N/M")</f>
        <v>1.2544764623610618</v>
      </c>
      <c r="K23" s="114">
        <f>IFERROR(('Balance Sheet'!K27+'Balance Sheet'!K32-'Balance Sheet'!K8)/'Income Statement'!K31,"N/M")</f>
        <v>1.0191068807460786</v>
      </c>
      <c r="L23" s="114">
        <f>IFERROR(('Balance Sheet'!L27+'Balance Sheet'!L32-'Balance Sheet'!L8)/'Income Statement'!L31,"N/M")</f>
        <v>0.75188889837910611</v>
      </c>
    </row>
    <row r="24" spans="1:13" ht="15" customHeight="1" x14ac:dyDescent="0.2">
      <c r="A24" s="22" t="s">
        <v>276</v>
      </c>
      <c r="C24" s="113">
        <f>IFERROR('Income Statement'!C20/6742,"N/M")</f>
        <v>34.885048946900028</v>
      </c>
      <c r="D24" s="113">
        <f>IFERROR('Income Statement'!D20/21647,"N/M")</f>
        <v>31.554672702914953</v>
      </c>
      <c r="E24" s="113">
        <f>IFERROR('Income Statement'!E20/136158,"N/M")</f>
        <v>6.2482997693855671</v>
      </c>
      <c r="F24" s="113">
        <f>IFERROR('Income Statement'!F20/161351,"N/M")</f>
        <v>6.483195022032711</v>
      </c>
      <c r="G24" s="113">
        <f>IFERROR('Income Statement'!G20/109264,"N/M")</f>
        <v>9.5730798799238546</v>
      </c>
      <c r="H24" s="114">
        <f>IFERROR('Income Statement'!H20/88287,"N/M")</f>
        <v>10.05391507243422</v>
      </c>
      <c r="I24" s="114">
        <f>IFERROR('Income Statement'!I20/ABS('Income Statement'!I23),"N/M")</f>
        <v>10.216324920063109</v>
      </c>
      <c r="J24" s="114">
        <f>IFERROR('Income Statement'!J20/ABS('Income Statement'!J23),"N/M")</f>
        <v>11.805151401591088</v>
      </c>
      <c r="K24" s="114">
        <f>IFERROR('Income Statement'!K20/ABS('Income Statement'!K23),"N/M")</f>
        <v>14.054226360506281</v>
      </c>
      <c r="L24" s="114">
        <f>IFERROR('Income Statement'!L20/ABS('Income Statement'!L23),"N/M")</f>
        <v>17.053696193510046</v>
      </c>
    </row>
    <row r="25" spans="1:13" ht="15" customHeight="1" x14ac:dyDescent="0.2">
      <c r="A25" s="22" t="s">
        <v>277</v>
      </c>
      <c r="C25" s="113">
        <f>IFERROR('Cash Flow Statement'!C19/('Balance Sheet'!C27+'Balance Sheet'!C32),"N/M")</f>
        <v>0.71466402474127433</v>
      </c>
      <c r="D25" s="113">
        <f>IFERROR('Cash Flow Statement'!D19/('Balance Sheet'!D27+'Balance Sheet'!D32),"N/M")</f>
        <v>0.58861470859594478</v>
      </c>
      <c r="E25" s="113">
        <f>IFERROR('Cash Flow Statement'!E19/('Balance Sheet'!E27+'Balance Sheet'!E32),"N/M")</f>
        <v>0.23242788724621999</v>
      </c>
      <c r="F25" s="113">
        <f>IFERROR('Cash Flow Statement'!F19/('Balance Sheet'!F27+'Balance Sheet'!F32),"N/M")</f>
        <v>0.46607024785108897</v>
      </c>
      <c r="G25" s="113">
        <f>IFERROR('Cash Flow Statement'!G19/('Balance Sheet'!G27+'Balance Sheet'!G32),"N/M")</f>
        <v>0.58337055985554542</v>
      </c>
      <c r="H25" s="114">
        <f>IFERROR('Cash Flow Statement'!H19/('Balance Sheet'!H27+'Balance Sheet'!H32),"N/M")</f>
        <v>0.4402090901936922</v>
      </c>
      <c r="I25" s="114">
        <f>IFERROR('Cash Flow Statement'!I19/('Balance Sheet'!I27+'Balance Sheet'!I32),"N/M")</f>
        <v>0.52434488449333116</v>
      </c>
      <c r="J25" s="114">
        <f>IFERROR('Cash Flow Statement'!J19/('Balance Sheet'!J27+'Balance Sheet'!J32),"N/M")</f>
        <v>0.57525042214010325</v>
      </c>
      <c r="K25" s="114">
        <f>IFERROR('Cash Flow Statement'!K19/('Balance Sheet'!K27+'Balance Sheet'!K32),"N/M")</f>
        <v>0.69244962149359313</v>
      </c>
      <c r="L25" s="114">
        <f>IFERROR('Cash Flow Statement'!L19/('Balance Sheet'!L27+'Balance Sheet'!L32),"N/M")</f>
        <v>0.85229824416332811</v>
      </c>
    </row>
    <row r="27" spans="1:13" ht="15.75" customHeight="1" x14ac:dyDescent="0.2">
      <c r="A27" s="10" t="s">
        <v>278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3" ht="15" customHeight="1" x14ac:dyDescent="0.2">
      <c r="A28" s="22" t="s">
        <v>279</v>
      </c>
      <c r="C28" s="113">
        <f>'Income Statement'!C6/'Balance Sheet'!C20</f>
        <v>1.2388687816376351</v>
      </c>
      <c r="D28" s="113">
        <f>'Income Statement'!D6/'Balance Sheet'!D20</f>
        <v>1.4972907341295012</v>
      </c>
      <c r="E28" s="113">
        <f>'Income Statement'!E6/'Balance Sheet'!E20</f>
        <v>0.78968132059264329</v>
      </c>
      <c r="F28" s="113">
        <f>'Income Statement'!F6/'Balance Sheet'!F20</f>
        <v>0.85324906101294751</v>
      </c>
      <c r="G28" s="113">
        <f>'Income Statement'!G6/'Balance Sheet'!G20</f>
        <v>0.85244754271113155</v>
      </c>
      <c r="H28" s="114">
        <f>'Income Statement'!H6/'Balance Sheet'!H20</f>
        <v>0.96787759746092583</v>
      </c>
      <c r="I28" s="114">
        <f>'Income Statement'!I6/'Balance Sheet'!I20</f>
        <v>0.97574486706830432</v>
      </c>
      <c r="J28" s="114">
        <f>'Income Statement'!J6/'Balance Sheet'!J20</f>
        <v>0.9979045858930774</v>
      </c>
      <c r="K28" s="114">
        <f>'Income Statement'!K6/'Balance Sheet'!K20</f>
        <v>1.0208977555168011</v>
      </c>
      <c r="L28" s="114">
        <f>'Income Statement'!L6/'Balance Sheet'!L20</f>
        <v>1.038317582150126</v>
      </c>
      <c r="M28" s="25" t="s">
        <v>280</v>
      </c>
    </row>
    <row r="29" spans="1:13" ht="15" customHeight="1" x14ac:dyDescent="0.2">
      <c r="A29" s="22" t="s">
        <v>281</v>
      </c>
      <c r="C29" s="113">
        <f>'Income Statement'!C9/'Balance Sheet'!C10</f>
        <v>3.6317917325734776</v>
      </c>
      <c r="D29" s="113">
        <f>'Income Statement'!D9/'Balance Sheet'!D10</f>
        <v>4.1831959535406522</v>
      </c>
      <c r="E29" s="113">
        <f>'Income Statement'!E9/'Balance Sheet'!E10</f>
        <v>3.5938912227945652</v>
      </c>
      <c r="F29" s="113">
        <f>'Income Statement'!F9/'Balance Sheet'!F10</f>
        <v>4.5508863691845818</v>
      </c>
      <c r="G29" s="113">
        <f>'Income Statement'!G9/'Balance Sheet'!G10</f>
        <v>4.7489993094814373</v>
      </c>
      <c r="H29" s="114">
        <f>'Income Statement'!H9/'Balance Sheet'!H10</f>
        <v>4.5664533872905748</v>
      </c>
      <c r="I29" s="114">
        <f>'Income Statement'!I9/'Balance Sheet'!I10</f>
        <v>4.6202531645569627</v>
      </c>
      <c r="J29" s="114">
        <f>'Income Statement'!J9/'Balance Sheet'!J10</f>
        <v>4.6202531645569618</v>
      </c>
      <c r="K29" s="114">
        <f>'Income Statement'!K9/'Balance Sheet'!K10</f>
        <v>4.6202531645569627</v>
      </c>
      <c r="L29" s="114">
        <f>'Income Statement'!L9/'Balance Sheet'!L10</f>
        <v>4.6202531645569618</v>
      </c>
    </row>
    <row r="30" spans="1:13" ht="15" customHeight="1" x14ac:dyDescent="0.2">
      <c r="A30" s="22" t="s">
        <v>218</v>
      </c>
      <c r="C30" s="115">
        <f>'Balance Sheet'!C9/'Income Statement'!C6*365</f>
        <v>42.800791658579563</v>
      </c>
      <c r="D30" s="115">
        <f>'Balance Sheet'!D9/'Income Statement'!D6*365</f>
        <v>34.265964271017403</v>
      </c>
      <c r="E30" s="115">
        <f>'Balance Sheet'!E9/'Income Statement'!E6*365</f>
        <v>33.798629248787265</v>
      </c>
      <c r="F30" s="115">
        <f>'Balance Sheet'!F9/'Income Statement'!F6*365</f>
        <v>30.512046269546808</v>
      </c>
      <c r="G30" s="115">
        <f>'Balance Sheet'!G9/'Income Statement'!G6*365</f>
        <v>25.2616593712306</v>
      </c>
      <c r="H30" s="116">
        <f>'Balance Sheet'!H9/'Income Statement'!H6*365</f>
        <v>30.085546943348426</v>
      </c>
      <c r="I30" s="116">
        <f>'Balance Sheet'!I9/'Income Statement'!I6*365</f>
        <v>28.999999999999996</v>
      </c>
      <c r="J30" s="116">
        <f>'Balance Sheet'!J9/'Income Statement'!J6*365</f>
        <v>28.999999999999996</v>
      </c>
      <c r="K30" s="116">
        <f>'Balance Sheet'!K9/'Income Statement'!K6*365</f>
        <v>28.999999999999996</v>
      </c>
      <c r="L30" s="116">
        <f>'Balance Sheet'!L9/'Income Statement'!L6*365</f>
        <v>29.000000000000004</v>
      </c>
    </row>
    <row r="31" spans="1:13" ht="15" customHeight="1" x14ac:dyDescent="0.2">
      <c r="A31" s="22" t="s">
        <v>219</v>
      </c>
      <c r="C31" s="115">
        <f>'Balance Sheet'!C10/'Income Statement'!C9*365</f>
        <v>100.50135769799827</v>
      </c>
      <c r="D31" s="115">
        <f>'Balance Sheet'!D10/'Income Statement'!D9*365</f>
        <v>87.253861414515967</v>
      </c>
      <c r="E31" s="115">
        <f>'Balance Sheet'!E10/'Income Statement'!E9*365</f>
        <v>101.56122636237735</v>
      </c>
      <c r="F31" s="115">
        <f>'Balance Sheet'!F10/'Income Statement'!F9*365</f>
        <v>80.204155935758934</v>
      </c>
      <c r="G31" s="115">
        <f>'Balance Sheet'!G10/'Income Statement'!G9*365</f>
        <v>76.858297130360256</v>
      </c>
      <c r="H31" s="116">
        <f>'Balance Sheet'!H10/'Income Statement'!H9*365</f>
        <v>79.930740345641937</v>
      </c>
      <c r="I31" s="116">
        <f>'Balance Sheet'!I10/'Income Statement'!I9*365</f>
        <v>78.999999999999986</v>
      </c>
      <c r="J31" s="116">
        <f>'Balance Sheet'!J10/'Income Statement'!J9*365</f>
        <v>79</v>
      </c>
      <c r="K31" s="116">
        <f>'Balance Sheet'!K10/'Income Statement'!K9*365</f>
        <v>79</v>
      </c>
      <c r="L31" s="116">
        <f>'Balance Sheet'!L10/'Income Statement'!L9*365</f>
        <v>79</v>
      </c>
    </row>
    <row r="32" spans="1:13" ht="15" customHeight="1" x14ac:dyDescent="0.2">
      <c r="A32" s="22" t="s">
        <v>220</v>
      </c>
      <c r="C32" s="115">
        <f>'Balance Sheet'!C24/'Income Statement'!C9*365</f>
        <v>78.365589470489908</v>
      </c>
      <c r="D32" s="115">
        <f>'Balance Sheet'!D24/'Income Statement'!D9*365</f>
        <v>81.278655524655292</v>
      </c>
      <c r="E32" s="115">
        <f>'Balance Sheet'!E24/'Income Statement'!E9*365</f>
        <v>77.063818852034842</v>
      </c>
      <c r="F32" s="115">
        <f>'Balance Sheet'!F24/'Income Statement'!F9*365</f>
        <v>73.048032427552471</v>
      </c>
      <c r="G32" s="115">
        <f>'Balance Sheet'!G24/'Income Statement'!G9*365</f>
        <v>84.336929987883082</v>
      </c>
      <c r="H32" s="116">
        <f>'Balance Sheet'!H24/'Income Statement'!H9*365</f>
        <v>72.94528009161364</v>
      </c>
      <c r="I32" s="116">
        <f>'Balance Sheet'!I24/'Income Statement'!I9*365</f>
        <v>77</v>
      </c>
      <c r="J32" s="116">
        <f>'Balance Sheet'!J24/'Income Statement'!J9*365</f>
        <v>77</v>
      </c>
      <c r="K32" s="116">
        <f>'Balance Sheet'!K24/'Income Statement'!K9*365</f>
        <v>76.999999999999986</v>
      </c>
      <c r="L32" s="116">
        <f>'Balance Sheet'!L24/'Income Statement'!L9*365</f>
        <v>77</v>
      </c>
    </row>
    <row r="33" spans="1:13" ht="15" customHeight="1" x14ac:dyDescent="0.2">
      <c r="A33" s="22" t="s">
        <v>282</v>
      </c>
      <c r="C33" s="115">
        <f t="shared" ref="C33:L33" si="0">C30+C31-C32</f>
        <v>64.936559886087935</v>
      </c>
      <c r="D33" s="115">
        <f t="shared" si="0"/>
        <v>40.24117016087807</v>
      </c>
      <c r="E33" s="115">
        <f t="shared" si="0"/>
        <v>58.296036759129777</v>
      </c>
      <c r="F33" s="115">
        <f t="shared" si="0"/>
        <v>37.668169777753263</v>
      </c>
      <c r="G33" s="115">
        <f t="shared" si="0"/>
        <v>17.783026513707767</v>
      </c>
      <c r="H33" s="116">
        <f t="shared" si="0"/>
        <v>37.071007197376716</v>
      </c>
      <c r="I33" s="116">
        <f t="shared" si="0"/>
        <v>30.999999999999986</v>
      </c>
      <c r="J33" s="116">
        <f t="shared" si="0"/>
        <v>31</v>
      </c>
      <c r="K33" s="116">
        <f t="shared" si="0"/>
        <v>31.000000000000014</v>
      </c>
      <c r="L33" s="116">
        <f t="shared" si="0"/>
        <v>31</v>
      </c>
    </row>
    <row r="34" spans="1:13" ht="15" customHeight="1" x14ac:dyDescent="0.2">
      <c r="A34" s="22" t="s">
        <v>283</v>
      </c>
      <c r="C34" s="113">
        <f>'Income Statement'!C6/'Balance Sheet'!C9</f>
        <v>8.5278796455820824</v>
      </c>
      <c r="D34" s="113">
        <f>'Income Statement'!D6/'Balance Sheet'!D9</f>
        <v>10.6519693160575</v>
      </c>
      <c r="E34" s="113">
        <f>'Income Statement'!E6/'Balance Sheet'!E9</f>
        <v>10.799254529326706</v>
      </c>
      <c r="F34" s="113">
        <f>'Income Statement'!F6/'Balance Sheet'!F9</f>
        <v>11.962488414429808</v>
      </c>
      <c r="G34" s="113">
        <f>'Income Statement'!G6/'Balance Sheet'!G9</f>
        <v>14.448773718154184</v>
      </c>
      <c r="H34" s="114">
        <f>'Income Statement'!H6/'Balance Sheet'!H9</f>
        <v>12.132071279518398</v>
      </c>
      <c r="I34" s="114">
        <f>'Income Statement'!I6/'Balance Sheet'!I9</f>
        <v>12.586206896551726</v>
      </c>
      <c r="J34" s="114">
        <f>'Income Statement'!J6/'Balance Sheet'!J9</f>
        <v>12.586206896551726</v>
      </c>
      <c r="K34" s="114">
        <f>'Income Statement'!K6/'Balance Sheet'!K9</f>
        <v>12.586206896551724</v>
      </c>
      <c r="L34" s="114">
        <f>'Income Statement'!L6/'Balance Sheet'!L9</f>
        <v>12.586206896551724</v>
      </c>
    </row>
    <row r="36" spans="1:13" ht="15.75" customHeight="1" x14ac:dyDescent="0.2">
      <c r="A36" s="10" t="s">
        <v>284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3" ht="15" customHeight="1" x14ac:dyDescent="0.2">
      <c r="A37" s="22" t="s">
        <v>285</v>
      </c>
      <c r="C37" s="111">
        <f>IFERROR(4311724/('Income Statement'!C28),"N/M")</f>
        <v>13.781596299954293</v>
      </c>
      <c r="D37" s="111">
        <f>IFERROR(4311724/('Income Statement'!D28),"N/M")</f>
        <v>5.9415180503077059</v>
      </c>
      <c r="E37" s="111">
        <f>IFERROR(4311724/('Income Statement'!E28),"N/M")</f>
        <v>7.9823237232000208</v>
      </c>
      <c r="F37" s="111">
        <f>IFERROR(4311724/('Income Statement'!F28),"N/M")</f>
        <v>5.440208134085994</v>
      </c>
      <c r="G37" s="111">
        <f>IFERROR(4311724/('Income Statement'!G28),"N/M")</f>
        <v>4.5383176625746922</v>
      </c>
      <c r="H37" s="112">
        <f>IFERROR(4311724/('Income Statement'!H28),"N/M")</f>
        <v>-53.101357176285127</v>
      </c>
      <c r="I37" s="112">
        <f>IFERROR(4311724/('Income Statement'!I28),"N/M")</f>
        <v>7.0793543369871603</v>
      </c>
      <c r="J37" s="112">
        <f>IFERROR(4311724/('Income Statement'!J28),"N/M")</f>
        <v>6.690545787551673</v>
      </c>
      <c r="K37" s="112">
        <f>IFERROR(4311724/('Income Statement'!K28),"N/M")</f>
        <v>6.2083747013665995</v>
      </c>
      <c r="L37" s="112">
        <f>IFERROR(4311724/('Income Statement'!L28),"N/M")</f>
        <v>5.7438717939127288</v>
      </c>
      <c r="M37" s="25" t="s">
        <v>286</v>
      </c>
    </row>
    <row r="38" spans="1:13" ht="15" customHeight="1" x14ac:dyDescent="0.2">
      <c r="A38" s="22" t="s">
        <v>287</v>
      </c>
      <c r="C38" s="111">
        <f>IFERROR(4311724/'Balance Sheet'!C44,"N/M")</f>
        <v>14.835631191227424</v>
      </c>
      <c r="D38" s="111">
        <f>IFERROR(4311724/'Balance Sheet'!D44,"N/M")</f>
        <v>306.18690526913792</v>
      </c>
      <c r="E38" s="111">
        <f>IFERROR(4311724/'Balance Sheet'!E44,"N/M")</f>
        <v>5.2715008967749117</v>
      </c>
      <c r="F38" s="111">
        <f>IFERROR(4311724/'Balance Sheet'!F44,"N/M")</f>
        <v>2.965579332605647</v>
      </c>
      <c r="G38" s="111">
        <f>IFERROR(4311724/'Balance Sheet'!G44,"N/M")</f>
        <v>2.3487764009125516</v>
      </c>
      <c r="H38" s="112">
        <f>IFERROR(4311724/'Balance Sheet'!H44,"N/M")</f>
        <v>3.3339369650726098</v>
      </c>
      <c r="I38" s="112">
        <f>IFERROR(4311724/'Balance Sheet'!I44,"N/M")</f>
        <v>3.1883452710421127</v>
      </c>
      <c r="J38" s="112">
        <f>IFERROR(4311724/'Balance Sheet'!J44,"N/M")</f>
        <v>2.9802015987183954</v>
      </c>
      <c r="K38" s="112">
        <f>IFERROR(4311724/'Balance Sheet'!K44,"N/M")</f>
        <v>2.7095767019338521</v>
      </c>
      <c r="L38" s="112">
        <f>IFERROR(4311724/'Balance Sheet'!L44,"N/M")</f>
        <v>2.406155454944126</v>
      </c>
    </row>
    <row r="39" spans="1:13" ht="15" customHeight="1" x14ac:dyDescent="0.2">
      <c r="A39" s="22" t="s">
        <v>288</v>
      </c>
      <c r="C39" s="111">
        <f>5796339/'Income Statement'!C6</f>
        <v>4.18221062649401</v>
      </c>
      <c r="D39" s="111">
        <f>5796339/'Income Statement'!D6</f>
        <v>2.5055325112301463</v>
      </c>
      <c r="E39" s="111">
        <f>5796339/'Income Statement'!E6</f>
        <v>1.6304819851560555</v>
      </c>
      <c r="F39" s="111">
        <f>5796339/'Income Statement'!F6</f>
        <v>1.4628549695420416</v>
      </c>
      <c r="G39" s="111">
        <f>5796339/'Income Statement'!G6</f>
        <v>1.4130147231618475</v>
      </c>
      <c r="H39" s="112">
        <f>5796339/'Income Statement'!H6</f>
        <v>1.4345076419692193</v>
      </c>
      <c r="I39" s="112">
        <f>5796339/'Income Statement'!I6</f>
        <v>1.4489976181507267</v>
      </c>
      <c r="J39" s="112">
        <f>5796339/'Income Statement'!J6</f>
        <v>1.4346511070799273</v>
      </c>
      <c r="K39" s="112">
        <f>5796339/'Income Statement'!K6</f>
        <v>1.3996596166633437</v>
      </c>
      <c r="L39" s="112">
        <f>5796339/'Income Statement'!L6</f>
        <v>1.3523281320418781</v>
      </c>
    </row>
    <row r="40" spans="1:13" ht="15" customHeight="1" x14ac:dyDescent="0.2">
      <c r="A40" s="22" t="s">
        <v>289</v>
      </c>
      <c r="C40" s="111">
        <f>IFERROR(5796339/'Income Statement'!C31,"N/M")</f>
        <v>22.05490955580753</v>
      </c>
      <c r="D40" s="111">
        <f>IFERROR(5796339/'Income Statement'!D31,"N/M")</f>
        <v>8.1063143320653381</v>
      </c>
      <c r="E40" s="111">
        <f>IFERROR(5796339/'Income Statement'!E31,"N/M")</f>
        <v>6.5128502165766839</v>
      </c>
      <c r="F40" s="111">
        <f>IFERROR(5796339/'Income Statement'!F31,"N/M")</f>
        <v>5.2676081041536786</v>
      </c>
      <c r="G40" s="111">
        <f>IFERROR(5796339/'Income Statement'!G31,"N/M")</f>
        <v>5.1946294830857305</v>
      </c>
      <c r="H40" s="112">
        <f>IFERROR(5796339/'Income Statement'!H31,"N/M")</f>
        <v>5.9946913472994439</v>
      </c>
      <c r="I40" s="112">
        <f>IFERROR(5796339/'Income Statement'!I31,"N/M")</f>
        <v>6.1659473112796874</v>
      </c>
      <c r="J40" s="112">
        <f>IFERROR(5796339/'Income Statement'!J31,"N/M")</f>
        <v>5.9283103598344082</v>
      </c>
      <c r="K40" s="112">
        <f>IFERROR(5796339/'Income Statement'!K31,"N/M")</f>
        <v>5.5986384666533748</v>
      </c>
      <c r="L40" s="112">
        <f>IFERROR(5796339/'Income Statement'!L31,"N/M")</f>
        <v>5.2619771674781246</v>
      </c>
    </row>
    <row r="41" spans="1:13" ht="15" customHeight="1" x14ac:dyDescent="0.2">
      <c r="A41" s="22" t="s">
        <v>290</v>
      </c>
      <c r="C41" s="111">
        <f>IFERROR(5796339/'Income Statement'!C20,"N/M")</f>
        <v>24.644822381428177</v>
      </c>
      <c r="D41" s="111">
        <f>IFERROR(5796339/'Income Statement'!D20,"N/M")</f>
        <v>8.4857919609289905</v>
      </c>
      <c r="E41" s="111">
        <f>IFERROR(5796339/'Income Statement'!E20,"N/M")</f>
        <v>6.8131626459290322</v>
      </c>
      <c r="F41" s="111">
        <f>IFERROR(5796339/'Income Statement'!F20,"N/M")</f>
        <v>5.5410622616077321</v>
      </c>
      <c r="G41" s="111">
        <f>IFERROR(5796339/'Income Statement'!G20,"N/M")</f>
        <v>5.5414701628022369</v>
      </c>
      <c r="H41" s="112">
        <f>IFERROR(5796339/'Income Statement'!H20,"N/M")</f>
        <v>6.5301296711467618</v>
      </c>
      <c r="I41" s="112">
        <f>IFERROR(5796339/'Income Statement'!I20,"N/M")</f>
        <v>6.7395238053522162</v>
      </c>
      <c r="J41" s="112">
        <f>IFERROR(5796339/'Income Statement'!J20,"N/M")</f>
        <v>6.4623923742339047</v>
      </c>
      <c r="K41" s="112">
        <f>IFERROR(5796339/'Income Statement'!K20,"N/M")</f>
        <v>6.0854765941884512</v>
      </c>
      <c r="L41" s="112">
        <f>IFERROR(5796339/'Income Statement'!L20,"N/M")</f>
        <v>5.706025873594422</v>
      </c>
    </row>
    <row r="42" spans="1:13" ht="15" customHeight="1" x14ac:dyDescent="0.2">
      <c r="A42" s="22" t="s">
        <v>291</v>
      </c>
      <c r="C42" s="111">
        <f>IFERROR(5796339/('Cash Flow Statement'!C19+'Cash Flow Statement'!C22),"N/M")</f>
        <v>25.776514326118761</v>
      </c>
      <c r="D42" s="111">
        <f>IFERROR(5796339/('Cash Flow Statement'!D19+'Cash Flow Statement'!D22),"N/M")</f>
        <v>11.337604572331681</v>
      </c>
      <c r="E42" s="111">
        <f>IFERROR(5796339/('Cash Flow Statement'!E19+'Cash Flow Statement'!E22),"N/M")</f>
        <v>11.617027289198159</v>
      </c>
      <c r="F42" s="111">
        <f>IFERROR(5796339/('Cash Flow Statement'!F19+'Cash Flow Statement'!F22),"N/M")</f>
        <v>7.1136522344226139</v>
      </c>
      <c r="G42" s="111">
        <f>IFERROR(5796339/('Cash Flow Statement'!G19+'Cash Flow Statement'!G22),"N/M")</f>
        <v>6.2789449909493591</v>
      </c>
      <c r="H42" s="112">
        <f>IFERROR(5796339/('Cash Flow Statement'!H19+'Cash Flow Statement'!H22),"N/M")</f>
        <v>8.7929899878640772</v>
      </c>
      <c r="I42" s="112">
        <f>IFERROR(5796339/('Cash Flow Statement'!I19+'Cash Flow Statement'!I22),"N/M")</f>
        <v>8.3333725670866841</v>
      </c>
      <c r="J42" s="112">
        <f>IFERROR(5796339/('Cash Flow Statement'!J19+'Cash Flow Statement'!J22),"N/M")</f>
        <v>8.4857445167322627</v>
      </c>
      <c r="K42" s="112">
        <f>IFERROR(5796339/('Cash Flow Statement'!K19+'Cash Flow Statement'!K22),"N/M")</f>
        <v>7.9253784500293998</v>
      </c>
      <c r="L42" s="112">
        <f>IFERROR(5796339/('Cash Flow Statement'!L19+'Cash Flow Statement'!L22),"N/M")</f>
        <v>7.3655723142728267</v>
      </c>
    </row>
    <row r="43" spans="1:13" ht="15" customHeight="1" x14ac:dyDescent="0.2">
      <c r="A43" s="22" t="s">
        <v>292</v>
      </c>
      <c r="C43" s="26" t="s">
        <v>293</v>
      </c>
      <c r="D43" s="26" t="s">
        <v>293</v>
      </c>
      <c r="E43" s="26" t="s">
        <v>293</v>
      </c>
      <c r="F43" s="26" t="s">
        <v>293</v>
      </c>
      <c r="G43" s="26" t="s">
        <v>293</v>
      </c>
      <c r="H43" s="64" t="s">
        <v>293</v>
      </c>
      <c r="I43" s="64" t="s">
        <v>293</v>
      </c>
      <c r="J43" s="64" t="s">
        <v>293</v>
      </c>
      <c r="K43" s="64" t="s">
        <v>293</v>
      </c>
      <c r="L43" s="64" t="s">
        <v>293</v>
      </c>
    </row>
    <row r="45" spans="1:13" ht="15.75" customHeight="1" x14ac:dyDescent="0.2">
      <c r="A45" s="10" t="s">
        <v>294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3" ht="15" customHeight="1" x14ac:dyDescent="0.2">
      <c r="A46" s="22" t="s">
        <v>295</v>
      </c>
      <c r="C46" s="117" t="s">
        <v>293</v>
      </c>
      <c r="D46" s="111">
        <f>'Income Statement'!D6/'Income Statement'!C6-1</f>
        <v>0.6691903249104767</v>
      </c>
      <c r="E46" s="111">
        <f>'Income Statement'!E6/'Income Statement'!D6-1</f>
        <v>0.53668211856406289</v>
      </c>
      <c r="F46" s="111">
        <f>'Income Statement'!F6/'Income Statement'!E6-1</f>
        <v>0.11458895044564188</v>
      </c>
      <c r="G46" s="111">
        <f>'Income Statement'!G6/'Income Statement'!F6-1</f>
        <v>3.5272276759203525E-2</v>
      </c>
      <c r="H46" s="112">
        <f>'Income Statement'!H6/'Income Statement'!G6-1</f>
        <v>-1.4982784461062493E-2</v>
      </c>
      <c r="I46" s="112">
        <f>'Income Statement'!I6/'Income Statement'!H6-1</f>
        <v>-1.0000000000000009E-2</v>
      </c>
      <c r="J46" s="112">
        <f>'Income Statement'!J6/'Income Statement'!I6-1</f>
        <v>1.0000000000000009E-2</v>
      </c>
      <c r="K46" s="112">
        <f>'Income Statement'!K6/'Income Statement'!J6-1</f>
        <v>2.4999999999999911E-2</v>
      </c>
      <c r="L46" s="112">
        <f>'Income Statement'!L6/'Income Statement'!K6-1</f>
        <v>3.499999999999992E-2</v>
      </c>
      <c r="M46" s="25" t="s">
        <v>296</v>
      </c>
    </row>
    <row r="47" spans="1:13" ht="15" customHeight="1" x14ac:dyDescent="0.2">
      <c r="A47" s="22" t="s">
        <v>297</v>
      </c>
      <c r="C47" s="117" t="s">
        <v>293</v>
      </c>
      <c r="D47" s="111">
        <f>IFERROR('Income Statement'!D31/'Income Statement'!C31-1,"N/M")</f>
        <v>1.7207074204570532</v>
      </c>
      <c r="E47" s="111">
        <f>IFERROR('Income Statement'!E31/'Income Statement'!D31-1,"N/M")</f>
        <v>0.24466463414634143</v>
      </c>
      <c r="F47" s="111">
        <f>IFERROR('Income Statement'!F31/'Income Statement'!E31-1,"N/M")</f>
        <v>0.236396119035714</v>
      </c>
      <c r="G47" s="111">
        <f>IFERROR('Income Statement'!G31/'Income Statement'!F31-1,"N/M")</f>
        <v>1.4048859751320864E-2</v>
      </c>
      <c r="H47" s="112">
        <f>IFERROR('Income Statement'!H31/'Income Statement'!G31-1,"N/M")</f>
        <v>-0.13346172769581111</v>
      </c>
      <c r="I47" s="112">
        <f>IFERROR('Income Statement'!I31/'Income Statement'!H31-1,"N/M")</f>
        <v>-2.777447735678118E-2</v>
      </c>
      <c r="J47" s="112">
        <f>IFERROR('Income Statement'!J31/'Income Statement'!I31-1,"N/M")</f>
        <v>4.0085106382979019E-2</v>
      </c>
      <c r="K47" s="112">
        <f>IFERROR('Income Statement'!K31/'Income Statement'!J31-1,"N/M")</f>
        <v>5.8884297520660711E-2</v>
      </c>
      <c r="L47" s="112">
        <f>IFERROR('Income Statement'!L31/'Income Statement'!K31-1,"N/M")</f>
        <v>6.3980000000000148E-2</v>
      </c>
    </row>
    <row r="48" spans="1:13" ht="15" customHeight="1" x14ac:dyDescent="0.2">
      <c r="A48" s="22" t="s">
        <v>298</v>
      </c>
      <c r="C48" s="117" t="s">
        <v>293</v>
      </c>
      <c r="D48" s="111">
        <f>IFERROR(IF('Income Statement'!C28&lt;0,"N/M",'Income Statement'!D28/'Income Statement'!C28-1),"N/M")</f>
        <v>1.319541265929598</v>
      </c>
      <c r="E48" s="111">
        <f>IFERROR(IF('Income Statement'!D28&lt;0,"N/M",'Income Statement'!E28/'Income Statement'!D28-1),"N/M")</f>
        <v>-0.25566561112535036</v>
      </c>
      <c r="F48" s="111">
        <f>IFERROR(IF('Income Statement'!E28&lt;0,"N/M",'Income Statement'!F28/'Income Statement'!E28-1),"N/M")</f>
        <v>0.46728278155135805</v>
      </c>
      <c r="G48" s="111">
        <f>IFERROR(IF('Income Statement'!F28&lt;0,"N/M",'Income Statement'!G28/'Income Statement'!F28-1),"N/M")</f>
        <v>0.19872792928286098</v>
      </c>
      <c r="H48" s="112">
        <f>IFERROR(IF('Income Statement'!G28&lt;0,"N/M",'Income Statement'!H28/'Income Statement'!G28-1),"N/M")</f>
        <v>-1.0854651915488422</v>
      </c>
      <c r="I48" s="112" t="str">
        <f>IFERROR(IF('Income Statement'!H28&lt;0,"N/M",'Income Statement'!I28/'Income Statement'!H28-1),"N/M")</f>
        <v>N/M</v>
      </c>
      <c r="J48" s="112">
        <f>IFERROR(IF('Income Statement'!I28&lt;0,"N/M",'Income Statement'!J28/'Income Statement'!I28-1),"N/M")</f>
        <v>5.8113128850997287E-2</v>
      </c>
      <c r="K48" s="112">
        <f>IFERROR(IF('Income Statement'!J28&lt;0,"N/M",'Income Statement'!K28/'Income Statement'!J28-1),"N/M")</f>
        <v>7.7664623895677076E-2</v>
      </c>
      <c r="L48" s="112">
        <f>IFERROR(IF('Income Statement'!K28&lt;0,"N/M",'Income Statement'!L28/'Income Statement'!K28-1),"N/M")</f>
        <v>8.0869302818726618E-2</v>
      </c>
    </row>
    <row r="49" spans="1:12" ht="15" customHeight="1" x14ac:dyDescent="0.2">
      <c r="A49" s="22" t="s">
        <v>299</v>
      </c>
      <c r="C49" s="117" t="s">
        <v>293</v>
      </c>
      <c r="D49" s="111" t="str">
        <f>IFERROR(IF('Income Statement'!C37&lt;0,"N/M",'Income Statement'!D37/'Income Statement'!C37-1),"N/M")</f>
        <v>N/M</v>
      </c>
      <c r="E49" s="111" t="str">
        <f>IFERROR(IF('Income Statement'!D37&lt;0,"N/M",'Income Statement'!E37/'Income Statement'!D37-1),"N/M")</f>
        <v>N/M</v>
      </c>
      <c r="F49" s="111" t="str">
        <f>IFERROR(IF('Income Statement'!E37&lt;0,"N/M",'Income Statement'!F37/'Income Statement'!E37-1),"N/M")</f>
        <v>N/M</v>
      </c>
      <c r="G49" s="111" t="str">
        <f>IFERROR(IF('Income Statement'!F37&lt;0,"N/M",'Income Statement'!G37/'Income Statement'!F37-1),"N/M")</f>
        <v>N/M</v>
      </c>
      <c r="H49" s="112" t="str">
        <f>IFERROR(IF('Income Statement'!G37&lt;0,"N/M",'Income Statement'!H37/'Income Statement'!G37-1),"N/M")</f>
        <v>N/M</v>
      </c>
      <c r="I49" s="112" t="str">
        <f>IFERROR(IF('Income Statement'!H37&lt;0,"N/M",'Income Statement'!I37/'Income Statement'!H37-1),"N/M")</f>
        <v>N/M</v>
      </c>
      <c r="J49" s="112" t="str">
        <f>IFERROR(IF('Income Statement'!I37&lt;0,"N/M",'Income Statement'!J37/'Income Statement'!I37-1),"N/M")</f>
        <v>N/M</v>
      </c>
      <c r="K49" s="112" t="str">
        <f>IFERROR(IF('Income Statement'!J37&lt;0,"N/M",'Income Statement'!K37/'Income Statement'!J37-1),"N/M")</f>
        <v>N/M</v>
      </c>
      <c r="L49" s="112" t="str">
        <f>IFERROR(IF('Income Statement'!K37&lt;0,"N/M",'Income Statement'!L37/'Income Statement'!K37-1),"N/M")</f>
        <v>N/M</v>
      </c>
    </row>
    <row r="50" spans="1:12" ht="15" customHeight="1" x14ac:dyDescent="0.2">
      <c r="A50" s="22" t="s">
        <v>300</v>
      </c>
      <c r="C50" s="117" t="s">
        <v>293</v>
      </c>
      <c r="D50" s="111">
        <f>IFERROR(('Cash Flow Statement'!D19+'Cash Flow Statement'!D22)/('Cash Flow Statement'!C19+'Cash Flow Statement'!C22)-1,"N/M")</f>
        <v>1.2735414841529957</v>
      </c>
      <c r="E50" s="111">
        <f>IFERROR(('Cash Flow Statement'!E19+'Cash Flow Statement'!E22)/('Cash Flow Statement'!D19+'Cash Flow Statement'!D22)-1,"N/M")</f>
        <v>-2.4052858783097819E-2</v>
      </c>
      <c r="F50" s="111">
        <f>IFERROR(('Cash Flow Statement'!F19+'Cash Flow Statement'!F22)/('Cash Flow Statement'!E19+'Cash Flow Statement'!E22)-1,"N/M")</f>
        <v>0.63306089563725565</v>
      </c>
      <c r="G50" s="111">
        <f>IFERROR(('Cash Flow Statement'!G19+'Cash Flow Statement'!G22)/('Cash Flow Statement'!F19+'Cash Flow Statement'!F22)-1,"N/M")</f>
        <v>0.13293749900284602</v>
      </c>
      <c r="H50" s="112">
        <f>IFERROR(('Cash Flow Statement'!H19+'Cash Flow Statement'!H22)/('Cash Flow Statement'!G19+'Cash Flow Statement'!G22)-1,"N/M")</f>
        <v>-0.28591468890383787</v>
      </c>
      <c r="I50" s="112">
        <f>IFERROR(('Cash Flow Statement'!I19+'Cash Flow Statement'!I22)/('Cash Flow Statement'!H19+'Cash Flow Statement'!H22)-1,"N/M")</f>
        <v>5.5153830826271788E-2</v>
      </c>
      <c r="J50" s="112">
        <f>IFERROR(('Cash Flow Statement'!J19+'Cash Flow Statement'!J22)/('Cash Flow Statement'!I19+'Cash Flow Statement'!I22)-1,"N/M")</f>
        <v>-1.7956226391818819E-2</v>
      </c>
      <c r="K50" s="112">
        <f>IFERROR(('Cash Flow Statement'!K19+'Cash Flow Statement'!K22)/('Cash Flow Statement'!J19+'Cash Flow Statement'!J22)-1,"N/M")</f>
        <v>7.070527549391481E-2</v>
      </c>
      <c r="L50" s="112">
        <f>IFERROR(('Cash Flow Statement'!L19+'Cash Flow Statement'!L22)/('Cash Flow Statement'!K19+'Cash Flow Statement'!K22)-1,"N/M")</f>
        <v>7.6003073742388461E-2</v>
      </c>
    </row>
    <row r="52" spans="1:12" ht="15" customHeight="1" x14ac:dyDescent="0.2">
      <c r="A52" s="38" t="s">
        <v>301</v>
      </c>
    </row>
  </sheetData>
  <mergeCells count="8">
    <mergeCell ref="A27:L27"/>
    <mergeCell ref="A36:L36"/>
    <mergeCell ref="A45:L45"/>
    <mergeCell ref="A1:L1"/>
    <mergeCell ref="A2:L2"/>
    <mergeCell ref="A5:L5"/>
    <mergeCell ref="A14:L14"/>
    <mergeCell ref="A20:L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4"/>
  <sheetViews>
    <sheetView showGridLines="0" zoomScale="125" zoomScaleNormal="125" workbookViewId="0">
      <selection activeCell="E48" sqref="E48"/>
    </sheetView>
  </sheetViews>
  <sheetFormatPr baseColWidth="10" defaultColWidth="8.6640625" defaultRowHeight="15" x14ac:dyDescent="0.2"/>
  <cols>
    <col min="1" max="1" width="28" customWidth="1"/>
    <col min="2" max="2" width="8" customWidth="1"/>
    <col min="3" max="3" width="5" customWidth="1"/>
    <col min="4" max="8" width="8" customWidth="1"/>
    <col min="9" max="9" width="3" customWidth="1"/>
    <col min="10" max="10" width="45" customWidth="1"/>
    <col min="11" max="11" width="35" customWidth="1"/>
  </cols>
  <sheetData>
    <row r="1" spans="1:11" ht="25.5" customHeight="1" x14ac:dyDescent="0.2">
      <c r="A1" s="214" t="s">
        <v>337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1" ht="13.5" customHeight="1" x14ac:dyDescent="0.2">
      <c r="A2" s="215" t="s">
        <v>338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</row>
    <row r="3" spans="1:11" ht="30" customHeight="1" x14ac:dyDescent="0.2">
      <c r="D3" s="12" t="s">
        <v>18</v>
      </c>
      <c r="E3" s="12"/>
      <c r="F3" s="12"/>
      <c r="G3" s="12"/>
      <c r="H3" s="12"/>
      <c r="J3" s="11" t="s">
        <v>339</v>
      </c>
      <c r="K3" s="11" t="s">
        <v>323</v>
      </c>
    </row>
    <row r="4" spans="1:11" ht="30" customHeight="1" x14ac:dyDescent="0.2">
      <c r="A4" s="60" t="s">
        <v>340</v>
      </c>
      <c r="B4" s="139" t="s">
        <v>341</v>
      </c>
      <c r="C4" s="139" t="s">
        <v>342</v>
      </c>
      <c r="D4" s="140" t="s">
        <v>343</v>
      </c>
      <c r="E4" s="140" t="s">
        <v>344</v>
      </c>
      <c r="F4" s="140" t="s">
        <v>345</v>
      </c>
      <c r="G4" s="140" t="s">
        <v>346</v>
      </c>
      <c r="H4" s="140" t="s">
        <v>347</v>
      </c>
      <c r="J4" s="11"/>
      <c r="K4" s="11"/>
    </row>
    <row r="5" spans="1:11" ht="19.5" customHeight="1" x14ac:dyDescent="0.2">
      <c r="A5" s="216" t="s">
        <v>348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</row>
    <row r="6" spans="1:11" s="144" customFormat="1" ht="19.5" customHeight="1" x14ac:dyDescent="0.2">
      <c r="A6" s="141"/>
      <c r="B6" s="142" t="s">
        <v>349</v>
      </c>
      <c r="C6" s="142"/>
      <c r="D6" s="143">
        <f>D7</f>
        <v>-0.01</v>
      </c>
      <c r="E6" s="143">
        <f>E7</f>
        <v>0.01</v>
      </c>
      <c r="F6" s="143">
        <f>F7</f>
        <v>2.5000000000000001E-2</v>
      </c>
      <c r="G6" s="143">
        <f>G7</f>
        <v>3.5000000000000003E-2</v>
      </c>
      <c r="H6" s="143">
        <f>H7</f>
        <v>4.2999999999999997E-2</v>
      </c>
      <c r="I6" s="141"/>
      <c r="J6" s="141"/>
      <c r="K6" s="141"/>
    </row>
    <row r="7" spans="1:11" ht="15.75" customHeight="1" x14ac:dyDescent="0.2">
      <c r="A7" s="217" t="s">
        <v>350</v>
      </c>
      <c r="B7" s="146" t="s">
        <v>351</v>
      </c>
      <c r="C7" s="147">
        <v>1</v>
      </c>
      <c r="D7" s="148">
        <v>-0.01</v>
      </c>
      <c r="E7" s="148">
        <v>0.01</v>
      </c>
      <c r="F7" s="148">
        <v>2.5000000000000001E-2</v>
      </c>
      <c r="G7" s="148">
        <v>3.5000000000000003E-2</v>
      </c>
      <c r="H7" s="148">
        <v>4.2999999999999997E-2</v>
      </c>
      <c r="J7" s="218" t="s">
        <v>352</v>
      </c>
      <c r="K7" s="219" t="s">
        <v>353</v>
      </c>
    </row>
    <row r="8" spans="1:11" ht="15.75" customHeight="1" x14ac:dyDescent="0.2">
      <c r="A8" s="217"/>
      <c r="B8" s="150" t="s">
        <v>354</v>
      </c>
      <c r="C8" s="151">
        <v>2</v>
      </c>
      <c r="D8" s="148">
        <v>0.01</v>
      </c>
      <c r="E8" s="148">
        <v>0.03</v>
      </c>
      <c r="F8" s="148">
        <v>4.4999999999999998E-2</v>
      </c>
      <c r="G8" s="148">
        <v>5.5E-2</v>
      </c>
      <c r="H8" s="148">
        <v>6.5000000000000002E-2</v>
      </c>
      <c r="J8" s="218"/>
      <c r="K8" s="218"/>
    </row>
    <row r="9" spans="1:11" ht="12.75" customHeight="1" x14ac:dyDescent="0.2">
      <c r="A9" s="217"/>
      <c r="B9" s="152" t="s">
        <v>355</v>
      </c>
      <c r="C9" s="153">
        <v>3</v>
      </c>
      <c r="D9" s="148">
        <v>-0.03</v>
      </c>
      <c r="E9" s="148">
        <v>-0.02</v>
      </c>
      <c r="F9" s="148">
        <v>-0.01</v>
      </c>
      <c r="G9" s="148">
        <v>5.0000000000000001E-3</v>
      </c>
      <c r="H9" s="148">
        <v>1.4999999999999999E-2</v>
      </c>
      <c r="J9" s="218"/>
      <c r="K9" s="218"/>
    </row>
    <row r="10" spans="1:11" s="158" customFormat="1" ht="12.75" customHeight="1" x14ac:dyDescent="0.2">
      <c r="A10" s="154"/>
      <c r="B10" s="155"/>
      <c r="C10" s="156"/>
      <c r="D10" s="157"/>
      <c r="E10" s="157"/>
      <c r="F10" s="157"/>
      <c r="G10" s="157"/>
      <c r="H10" s="157"/>
      <c r="J10" s="159"/>
      <c r="K10" s="159"/>
    </row>
    <row r="11" spans="1:11" ht="15" customHeight="1" x14ac:dyDescent="0.2">
      <c r="B11" s="142" t="s">
        <v>349</v>
      </c>
      <c r="D11" s="143">
        <f>D12</f>
        <v>0.41499999999999998</v>
      </c>
      <c r="E11" s="143">
        <f>E12</f>
        <v>0.41299999999999998</v>
      </c>
      <c r="F11" s="143">
        <f>F12</f>
        <v>0.41</v>
      </c>
      <c r="G11" s="143">
        <f>G12</f>
        <v>0.40799999999999997</v>
      </c>
      <c r="H11" s="143">
        <f>H12</f>
        <v>0.40500000000000003</v>
      </c>
    </row>
    <row r="12" spans="1:11" ht="15.75" customHeight="1" x14ac:dyDescent="0.2">
      <c r="A12" s="217" t="s">
        <v>356</v>
      </c>
      <c r="B12" s="146" t="s">
        <v>351</v>
      </c>
      <c r="C12" s="147">
        <v>1</v>
      </c>
      <c r="D12" s="148">
        <v>0.41499999999999998</v>
      </c>
      <c r="E12" s="148">
        <v>0.41299999999999998</v>
      </c>
      <c r="F12" s="148">
        <v>0.41</v>
      </c>
      <c r="G12" s="148">
        <v>0.40799999999999997</v>
      </c>
      <c r="H12" s="148">
        <v>0.40500000000000003</v>
      </c>
      <c r="J12" s="218" t="s">
        <v>357</v>
      </c>
      <c r="K12" s="219" t="s">
        <v>358</v>
      </c>
    </row>
    <row r="13" spans="1:11" ht="15.75" customHeight="1" x14ac:dyDescent="0.2">
      <c r="A13" s="217"/>
      <c r="B13" s="150" t="s">
        <v>354</v>
      </c>
      <c r="C13" s="151">
        <v>2</v>
      </c>
      <c r="D13" s="160">
        <v>0.40500000000000003</v>
      </c>
      <c r="E13" s="160">
        <v>0.4</v>
      </c>
      <c r="F13" s="148">
        <v>0.39500000000000002</v>
      </c>
      <c r="G13" s="148">
        <v>0.39</v>
      </c>
      <c r="H13" s="148">
        <v>0.38500000000000001</v>
      </c>
      <c r="J13" s="218"/>
      <c r="K13" s="218"/>
    </row>
    <row r="14" spans="1:11" ht="15.75" customHeight="1" x14ac:dyDescent="0.2">
      <c r="A14" s="217"/>
      <c r="B14" s="152" t="s">
        <v>355</v>
      </c>
      <c r="C14" s="153">
        <v>3</v>
      </c>
      <c r="D14" s="148">
        <v>0.42499999999999999</v>
      </c>
      <c r="E14" s="148">
        <v>0.43</v>
      </c>
      <c r="F14" s="148">
        <v>0.435</v>
      </c>
      <c r="G14" s="148">
        <v>0.44</v>
      </c>
      <c r="H14" s="148">
        <v>0.44</v>
      </c>
      <c r="J14" s="218"/>
      <c r="K14" s="218"/>
    </row>
    <row r="15" spans="1:11" s="158" customFormat="1" ht="15.75" customHeight="1" x14ac:dyDescent="0.2">
      <c r="A15" s="161"/>
      <c r="B15" s="162"/>
      <c r="C15" s="163"/>
      <c r="D15" s="164"/>
      <c r="E15" s="164"/>
      <c r="F15" s="164"/>
      <c r="G15" s="164"/>
      <c r="H15" s="164"/>
      <c r="J15" s="165"/>
      <c r="K15" s="165"/>
    </row>
    <row r="16" spans="1:11" ht="15.75" customHeight="1" x14ac:dyDescent="0.2">
      <c r="A16" s="145"/>
      <c r="B16" s="166" t="s">
        <v>349</v>
      </c>
      <c r="C16" s="163"/>
      <c r="D16" s="143">
        <f>D17</f>
        <v>0.35</v>
      </c>
      <c r="E16" s="143">
        <f>E17</f>
        <v>0.34499999999999997</v>
      </c>
      <c r="F16" s="143">
        <f>F17</f>
        <v>0.34</v>
      </c>
      <c r="G16" s="143">
        <f>G17</f>
        <v>0.33500000000000002</v>
      </c>
      <c r="H16" s="143">
        <f>H17</f>
        <v>0.33</v>
      </c>
      <c r="J16" s="149"/>
      <c r="K16" s="149"/>
    </row>
    <row r="17" spans="1:11" ht="15.75" customHeight="1" x14ac:dyDescent="0.2">
      <c r="A17" s="217" t="s">
        <v>359</v>
      </c>
      <c r="B17" s="146" t="s">
        <v>351</v>
      </c>
      <c r="C17" s="147">
        <v>1</v>
      </c>
      <c r="D17" s="148">
        <v>0.35</v>
      </c>
      <c r="E17" s="148">
        <v>0.34499999999999997</v>
      </c>
      <c r="F17" s="148">
        <v>0.34</v>
      </c>
      <c r="G17" s="148">
        <v>0.33500000000000002</v>
      </c>
      <c r="H17" s="148">
        <v>0.33</v>
      </c>
      <c r="J17" s="218" t="s">
        <v>360</v>
      </c>
      <c r="K17" s="219" t="s">
        <v>361</v>
      </c>
    </row>
    <row r="18" spans="1:11" ht="15.75" customHeight="1" x14ac:dyDescent="0.2">
      <c r="A18" s="217"/>
      <c r="B18" s="150" t="s">
        <v>354</v>
      </c>
      <c r="C18" s="151">
        <v>2</v>
      </c>
      <c r="D18" s="148">
        <v>0.34</v>
      </c>
      <c r="E18" s="148">
        <v>0.33</v>
      </c>
      <c r="F18" s="148">
        <v>0.32</v>
      </c>
      <c r="G18" s="148">
        <v>0.31</v>
      </c>
      <c r="H18" s="148">
        <v>0.3</v>
      </c>
      <c r="J18" s="218"/>
      <c r="K18" s="218"/>
    </row>
    <row r="19" spans="1:11" ht="15.75" customHeight="1" x14ac:dyDescent="0.2">
      <c r="A19" s="217"/>
      <c r="B19" s="152" t="s">
        <v>355</v>
      </c>
      <c r="C19" s="153">
        <v>3</v>
      </c>
      <c r="D19" s="148">
        <v>0.36</v>
      </c>
      <c r="E19" s="148">
        <v>0.36499999999999999</v>
      </c>
      <c r="F19" s="148">
        <v>0.37</v>
      </c>
      <c r="G19" s="148">
        <v>0.37</v>
      </c>
      <c r="H19" s="148">
        <v>0.37</v>
      </c>
      <c r="J19" s="218"/>
      <c r="K19" s="218"/>
    </row>
    <row r="20" spans="1:11" s="158" customFormat="1" ht="15.75" customHeight="1" x14ac:dyDescent="0.2">
      <c r="A20" s="161"/>
      <c r="B20" s="162"/>
      <c r="C20" s="163"/>
      <c r="D20" s="164"/>
      <c r="E20" s="164"/>
      <c r="F20" s="164"/>
      <c r="G20" s="164"/>
      <c r="H20" s="164"/>
      <c r="J20" s="165"/>
      <c r="K20" s="165"/>
    </row>
    <row r="21" spans="1:11" ht="15.75" customHeight="1" x14ac:dyDescent="0.2">
      <c r="A21" s="145"/>
      <c r="B21" s="166" t="s">
        <v>349</v>
      </c>
      <c r="C21" s="163"/>
      <c r="D21" s="143">
        <f>D22</f>
        <v>0.02</v>
      </c>
      <c r="E21" s="143">
        <f>E22</f>
        <v>0.02</v>
      </c>
      <c r="F21" s="143">
        <f>F22</f>
        <v>0.02</v>
      </c>
      <c r="G21" s="143">
        <f>G22</f>
        <v>0.02</v>
      </c>
      <c r="H21" s="143">
        <f>H22</f>
        <v>0.02</v>
      </c>
      <c r="J21" s="149"/>
      <c r="K21" s="149"/>
    </row>
    <row r="22" spans="1:11" ht="15.75" customHeight="1" x14ac:dyDescent="0.2">
      <c r="A22" s="217" t="s">
        <v>362</v>
      </c>
      <c r="B22" s="146" t="s">
        <v>351</v>
      </c>
      <c r="C22" s="147">
        <v>1</v>
      </c>
      <c r="D22" s="148">
        <v>0.02</v>
      </c>
      <c r="E22" s="148">
        <v>0.02</v>
      </c>
      <c r="F22" s="148">
        <v>0.02</v>
      </c>
      <c r="G22" s="148">
        <v>0.02</v>
      </c>
      <c r="H22" s="148">
        <v>0.02</v>
      </c>
      <c r="J22" s="218" t="s">
        <v>363</v>
      </c>
      <c r="K22" s="219" t="s">
        <v>364</v>
      </c>
    </row>
    <row r="23" spans="1:11" ht="15.75" customHeight="1" x14ac:dyDescent="0.2">
      <c r="A23" s="217"/>
      <c r="B23" s="150" t="s">
        <v>354</v>
      </c>
      <c r="C23" s="151">
        <v>2</v>
      </c>
      <c r="D23" s="148">
        <v>2.1000000000000001E-2</v>
      </c>
      <c r="E23" s="148">
        <v>2.1000000000000001E-2</v>
      </c>
      <c r="F23" s="148">
        <v>2.1000000000000001E-2</v>
      </c>
      <c r="G23" s="148">
        <v>2.1000000000000001E-2</v>
      </c>
      <c r="H23" s="148">
        <v>2.1000000000000001E-2</v>
      </c>
      <c r="J23" s="218"/>
      <c r="K23" s="218"/>
    </row>
    <row r="24" spans="1:11" ht="15.75" customHeight="1" x14ac:dyDescent="0.2">
      <c r="A24" s="217"/>
      <c r="B24" s="152" t="s">
        <v>355</v>
      </c>
      <c r="C24" s="153">
        <v>3</v>
      </c>
      <c r="D24" s="148">
        <v>1.9E-2</v>
      </c>
      <c r="E24" s="148">
        <v>1.9E-2</v>
      </c>
      <c r="F24" s="148">
        <v>1.9E-2</v>
      </c>
      <c r="G24" s="148">
        <v>1.9E-2</v>
      </c>
      <c r="H24" s="148">
        <v>1.9E-2</v>
      </c>
      <c r="J24" s="218"/>
      <c r="K24" s="218"/>
    </row>
    <row r="25" spans="1:11" s="158" customFormat="1" ht="15.75" customHeight="1" x14ac:dyDescent="0.2">
      <c r="A25" s="161"/>
      <c r="B25" s="162"/>
      <c r="C25" s="163"/>
      <c r="D25" s="164"/>
      <c r="E25" s="164"/>
      <c r="F25" s="164"/>
      <c r="G25" s="164"/>
      <c r="H25" s="164"/>
      <c r="J25" s="165"/>
      <c r="K25" s="165"/>
    </row>
    <row r="26" spans="1:11" ht="15.75" customHeight="1" x14ac:dyDescent="0.2">
      <c r="A26" s="145"/>
      <c r="B26" s="166" t="s">
        <v>349</v>
      </c>
      <c r="C26" s="167"/>
      <c r="D26" s="143">
        <f>D27</f>
        <v>0.215</v>
      </c>
      <c r="E26" s="143">
        <f>E27</f>
        <v>0.215</v>
      </c>
      <c r="F26" s="143">
        <f>F27</f>
        <v>0.215</v>
      </c>
      <c r="G26" s="143">
        <f>G27</f>
        <v>0.215</v>
      </c>
      <c r="H26" s="143">
        <f>H27</f>
        <v>0.215</v>
      </c>
      <c r="J26" s="149"/>
      <c r="K26" s="149"/>
    </row>
    <row r="27" spans="1:11" ht="15.75" customHeight="1" x14ac:dyDescent="0.2">
      <c r="A27" s="217" t="s">
        <v>365</v>
      </c>
      <c r="B27" s="146" t="s">
        <v>351</v>
      </c>
      <c r="C27" s="147">
        <v>1</v>
      </c>
      <c r="D27" s="148">
        <v>0.215</v>
      </c>
      <c r="E27" s="148">
        <v>0.215</v>
      </c>
      <c r="F27" s="148">
        <v>0.215</v>
      </c>
      <c r="G27" s="148">
        <v>0.215</v>
      </c>
      <c r="H27" s="148">
        <v>0.215</v>
      </c>
      <c r="J27" s="218" t="s">
        <v>366</v>
      </c>
      <c r="K27" s="219" t="s">
        <v>367</v>
      </c>
    </row>
    <row r="28" spans="1:11" ht="15.75" customHeight="1" x14ac:dyDescent="0.2">
      <c r="A28" s="217"/>
      <c r="B28" s="150" t="s">
        <v>354</v>
      </c>
      <c r="C28" s="151">
        <v>2</v>
      </c>
      <c r="D28" s="148">
        <v>0.18</v>
      </c>
      <c r="E28" s="148">
        <v>0.18</v>
      </c>
      <c r="F28" s="148">
        <v>0.18</v>
      </c>
      <c r="G28" s="148">
        <v>0.18</v>
      </c>
      <c r="H28" s="148">
        <v>0.18</v>
      </c>
      <c r="J28" s="218"/>
      <c r="K28" s="218"/>
    </row>
    <row r="29" spans="1:11" ht="15.75" customHeight="1" x14ac:dyDescent="0.2">
      <c r="A29" s="217"/>
      <c r="B29" s="152" t="s">
        <v>355</v>
      </c>
      <c r="C29" s="153">
        <v>3</v>
      </c>
      <c r="D29" s="148">
        <v>0.23</v>
      </c>
      <c r="E29" s="148">
        <v>0.23</v>
      </c>
      <c r="F29" s="148">
        <v>0.23</v>
      </c>
      <c r="G29" s="148">
        <v>0.23</v>
      </c>
      <c r="H29" s="148">
        <v>0.23</v>
      </c>
      <c r="J29" s="218"/>
      <c r="K29" s="218"/>
    </row>
    <row r="30" spans="1:11" ht="6" customHeight="1" x14ac:dyDescent="0.2"/>
    <row r="31" spans="1:11" ht="16.5" customHeight="1" x14ac:dyDescent="0.2"/>
    <row r="32" spans="1:11" ht="16.5" customHeight="1" x14ac:dyDescent="0.2">
      <c r="A32" t="s">
        <v>368</v>
      </c>
      <c r="D32" s="168">
        <v>0.02</v>
      </c>
      <c r="E32" s="168">
        <v>0.02</v>
      </c>
      <c r="F32" s="168">
        <v>0.02</v>
      </c>
      <c r="G32" s="168">
        <v>0.02</v>
      </c>
      <c r="H32" s="168">
        <v>0.02</v>
      </c>
    </row>
    <row r="33" spans="1:11" ht="15.75" customHeight="1" x14ac:dyDescent="0.2">
      <c r="A33" t="s">
        <v>369</v>
      </c>
      <c r="D33" s="168">
        <v>0.02</v>
      </c>
      <c r="E33" s="168">
        <v>0.02</v>
      </c>
      <c r="F33" s="168">
        <v>0.02</v>
      </c>
      <c r="G33" s="168">
        <v>0.02</v>
      </c>
      <c r="H33" s="168">
        <v>0.02</v>
      </c>
    </row>
    <row r="35" spans="1:11" ht="19.5" customHeight="1" x14ac:dyDescent="0.2">
      <c r="A35" s="216" t="s">
        <v>370</v>
      </c>
      <c r="B35" s="216"/>
      <c r="C35" s="216"/>
      <c r="D35" s="216"/>
      <c r="E35" s="216"/>
      <c r="F35" s="216"/>
      <c r="G35" s="216"/>
      <c r="H35" s="216"/>
      <c r="I35" s="216"/>
      <c r="J35" s="216"/>
      <c r="K35" s="216"/>
    </row>
    <row r="36" spans="1:11" s="158" customFormat="1" ht="19.5" customHeight="1" x14ac:dyDescent="0.2">
      <c r="A36" s="169"/>
      <c r="B36" s="142" t="s">
        <v>349</v>
      </c>
      <c r="C36" s="169"/>
      <c r="D36" s="170">
        <f>D37</f>
        <v>1.7999999999999999E-2</v>
      </c>
      <c r="E36" s="143">
        <f>E37</f>
        <v>1.7999999999999999E-2</v>
      </c>
      <c r="F36" s="143">
        <f>F37</f>
        <v>1.7999999999999999E-2</v>
      </c>
      <c r="G36" s="143">
        <f>G37</f>
        <v>1.7999999999999999E-2</v>
      </c>
      <c r="H36" s="143">
        <f>H37</f>
        <v>1.7999999999999999E-2</v>
      </c>
      <c r="I36" s="169"/>
      <c r="J36" s="169"/>
      <c r="K36" s="169"/>
    </row>
    <row r="37" spans="1:11" ht="15.75" customHeight="1" x14ac:dyDescent="0.2">
      <c r="A37" s="217" t="s">
        <v>371</v>
      </c>
      <c r="B37" s="146" t="s">
        <v>351</v>
      </c>
      <c r="C37" s="147">
        <v>1</v>
      </c>
      <c r="D37" s="170">
        <v>1.7999999999999999E-2</v>
      </c>
      <c r="E37" s="148">
        <v>1.7999999999999999E-2</v>
      </c>
      <c r="F37" s="148">
        <v>1.7999999999999999E-2</v>
      </c>
      <c r="G37" s="148">
        <v>1.7999999999999999E-2</v>
      </c>
      <c r="H37" s="148">
        <v>1.7999999999999999E-2</v>
      </c>
      <c r="J37" s="218" t="s">
        <v>372</v>
      </c>
      <c r="K37" s="219" t="s">
        <v>373</v>
      </c>
    </row>
    <row r="38" spans="1:11" ht="15.75" customHeight="1" x14ac:dyDescent="0.2">
      <c r="A38" s="217"/>
      <c r="B38" s="150" t="s">
        <v>354</v>
      </c>
      <c r="C38" s="151">
        <v>2</v>
      </c>
      <c r="D38" s="148">
        <v>0.02</v>
      </c>
      <c r="E38" s="148">
        <v>0.02</v>
      </c>
      <c r="F38" s="148">
        <v>0.02</v>
      </c>
      <c r="G38" s="148">
        <v>0.02</v>
      </c>
      <c r="H38" s="148">
        <v>0.02</v>
      </c>
      <c r="J38" s="218"/>
      <c r="K38" s="218"/>
    </row>
    <row r="39" spans="1:11" ht="15.75" customHeight="1" x14ac:dyDescent="0.2">
      <c r="A39" s="217"/>
      <c r="B39" s="152" t="s">
        <v>355</v>
      </c>
      <c r="C39" s="153">
        <v>3</v>
      </c>
      <c r="D39" s="148">
        <v>1.4999999999999999E-2</v>
      </c>
      <c r="E39" s="148">
        <v>1.4999999999999999E-2</v>
      </c>
      <c r="F39" s="148">
        <v>1.4999999999999999E-2</v>
      </c>
      <c r="G39" s="148">
        <v>1.4999999999999999E-2</v>
      </c>
      <c r="H39" s="148">
        <v>1.4999999999999999E-2</v>
      </c>
      <c r="J39" s="218"/>
      <c r="K39" s="218"/>
    </row>
    <row r="40" spans="1:11" ht="6" customHeight="1" x14ac:dyDescent="0.2"/>
    <row r="41" spans="1:11" ht="15.75" customHeight="1" x14ac:dyDescent="0.2">
      <c r="A41" s="217" t="s">
        <v>374</v>
      </c>
      <c r="B41" s="146" t="s">
        <v>351</v>
      </c>
      <c r="C41" s="147">
        <v>1</v>
      </c>
      <c r="D41" s="170">
        <v>8.0000000000000002E-3</v>
      </c>
      <c r="E41" s="148">
        <v>8.0000000000000002E-3</v>
      </c>
      <c r="F41" s="148">
        <v>8.0000000000000002E-3</v>
      </c>
      <c r="G41" s="148">
        <v>8.0000000000000002E-3</v>
      </c>
      <c r="H41" s="148">
        <v>8.0000000000000002E-3</v>
      </c>
      <c r="J41" s="218" t="s">
        <v>375</v>
      </c>
      <c r="K41" s="219" t="s">
        <v>376</v>
      </c>
    </row>
    <row r="42" spans="1:11" ht="15.75" customHeight="1" x14ac:dyDescent="0.2">
      <c r="A42" s="217"/>
      <c r="B42" s="150" t="s">
        <v>354</v>
      </c>
      <c r="C42" s="151">
        <v>2</v>
      </c>
      <c r="D42" s="148">
        <v>7.0000000000000001E-3</v>
      </c>
      <c r="E42" s="148">
        <v>7.0000000000000001E-3</v>
      </c>
      <c r="F42" s="148">
        <v>7.0000000000000001E-3</v>
      </c>
      <c r="G42" s="148">
        <v>7.0000000000000001E-3</v>
      </c>
      <c r="H42" s="148">
        <v>7.0000000000000001E-3</v>
      </c>
      <c r="J42" s="218"/>
      <c r="K42" s="218"/>
    </row>
    <row r="43" spans="1:11" ht="15.75" customHeight="1" x14ac:dyDescent="0.2">
      <c r="A43" s="217"/>
      <c r="B43" s="152" t="s">
        <v>355</v>
      </c>
      <c r="C43" s="153">
        <v>3</v>
      </c>
      <c r="D43" s="148">
        <v>8.9999999999999993E-3</v>
      </c>
      <c r="E43" s="148">
        <v>8.9999999999999993E-3</v>
      </c>
      <c r="F43" s="148">
        <v>8.9999999999999993E-3</v>
      </c>
      <c r="G43" s="148">
        <v>8.9999999999999993E-3</v>
      </c>
      <c r="H43" s="148">
        <v>8.9999999999999993E-3</v>
      </c>
      <c r="J43" s="218"/>
      <c r="K43" s="218"/>
    </row>
    <row r="44" spans="1:11" ht="6" customHeight="1" x14ac:dyDescent="0.2">
      <c r="B44" s="146"/>
      <c r="C44" s="147"/>
      <c r="D44" s="170"/>
      <c r="E44" s="148"/>
      <c r="F44" s="148"/>
      <c r="G44" s="148"/>
      <c r="H44" s="148"/>
    </row>
  </sheetData>
  <mergeCells count="28">
    <mergeCell ref="A41:A43"/>
    <mergeCell ref="J41:J43"/>
    <mergeCell ref="K41:K43"/>
    <mergeCell ref="A27:A29"/>
    <mergeCell ref="J27:J29"/>
    <mergeCell ref="K27:K29"/>
    <mergeCell ref="A35:K35"/>
    <mergeCell ref="A37:A39"/>
    <mergeCell ref="J37:J39"/>
    <mergeCell ref="K37:K39"/>
    <mergeCell ref="A17:A19"/>
    <mergeCell ref="J17:J19"/>
    <mergeCell ref="K17:K19"/>
    <mergeCell ref="A22:A24"/>
    <mergeCell ref="J22:J24"/>
    <mergeCell ref="K22:K24"/>
    <mergeCell ref="A5:K5"/>
    <mergeCell ref="A7:A9"/>
    <mergeCell ref="J7:J9"/>
    <mergeCell ref="K7:K9"/>
    <mergeCell ref="A12:A14"/>
    <mergeCell ref="J12:J14"/>
    <mergeCell ref="K12:K14"/>
    <mergeCell ref="A1:K1"/>
    <mergeCell ref="A2:K2"/>
    <mergeCell ref="D3:H3"/>
    <mergeCell ref="J3:J4"/>
    <mergeCell ref="K3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5"/>
  <sheetViews>
    <sheetView showGridLines="0" topLeftCell="A2" zoomScale="116" zoomScaleNormal="116" workbookViewId="0">
      <selection activeCell="D16" sqref="D16"/>
    </sheetView>
  </sheetViews>
  <sheetFormatPr baseColWidth="10" defaultColWidth="8.6640625" defaultRowHeight="15" x14ac:dyDescent="0.2"/>
  <cols>
    <col min="1" max="1" width="30" customWidth="1"/>
    <col min="2" max="2" width="10" customWidth="1"/>
    <col min="3" max="3" width="5" customWidth="1"/>
    <col min="4" max="4" width="9" customWidth="1"/>
    <col min="5" max="5" width="12.5" customWidth="1"/>
    <col min="6" max="8" width="9" customWidth="1"/>
    <col min="9" max="9" width="3" customWidth="1"/>
    <col min="10" max="10" width="50" customWidth="1"/>
    <col min="11" max="11" width="40" customWidth="1"/>
  </cols>
  <sheetData>
    <row r="1" spans="1:11" ht="25.5" customHeight="1" x14ac:dyDescent="0.2">
      <c r="A1" s="214" t="s">
        <v>377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1" ht="13.5" customHeight="1" x14ac:dyDescent="0.2">
      <c r="A2" s="215" t="s">
        <v>378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</row>
    <row r="3" spans="1:11" ht="15" customHeight="1" x14ac:dyDescent="0.2">
      <c r="D3" s="12" t="s">
        <v>379</v>
      </c>
      <c r="E3" s="12"/>
      <c r="F3" s="12"/>
      <c r="G3" s="12"/>
      <c r="H3" s="12"/>
      <c r="J3" s="11" t="s">
        <v>339</v>
      </c>
      <c r="K3" s="11" t="s">
        <v>323</v>
      </c>
    </row>
    <row r="4" spans="1:11" ht="30" customHeight="1" x14ac:dyDescent="0.2">
      <c r="A4" s="60" t="s">
        <v>340</v>
      </c>
      <c r="B4" s="139" t="s">
        <v>341</v>
      </c>
      <c r="C4" s="139" t="s">
        <v>342</v>
      </c>
      <c r="D4" s="140" t="s">
        <v>380</v>
      </c>
      <c r="E4" s="140" t="s">
        <v>381</v>
      </c>
      <c r="F4" s="140" t="s">
        <v>382</v>
      </c>
      <c r="G4" s="140" t="s">
        <v>383</v>
      </c>
      <c r="H4" s="140" t="s">
        <v>384</v>
      </c>
      <c r="J4" s="11"/>
      <c r="K4" s="11"/>
    </row>
    <row r="5" spans="1:11" ht="19.5" customHeight="1" x14ac:dyDescent="0.2">
      <c r="A5" s="216" t="s">
        <v>385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</row>
    <row r="6" spans="1:11" s="158" customFormat="1" ht="19.5" customHeight="1" x14ac:dyDescent="0.2">
      <c r="A6" s="169"/>
      <c r="B6" s="142" t="s">
        <v>349</v>
      </c>
      <c r="C6" s="169"/>
      <c r="D6" s="171">
        <f>D7</f>
        <v>29</v>
      </c>
      <c r="E6" s="171">
        <f>E7</f>
        <v>29</v>
      </c>
      <c r="F6" s="171">
        <f>F7</f>
        <v>29</v>
      </c>
      <c r="G6" s="171">
        <f>G7</f>
        <v>29</v>
      </c>
      <c r="H6" s="171">
        <f>H7</f>
        <v>29</v>
      </c>
      <c r="I6" s="169"/>
      <c r="J6" s="169"/>
      <c r="K6" s="169"/>
    </row>
    <row r="7" spans="1:11" ht="15.75" customHeight="1" x14ac:dyDescent="0.2">
      <c r="A7" s="217" t="s">
        <v>386</v>
      </c>
      <c r="B7" s="146" t="s">
        <v>351</v>
      </c>
      <c r="C7" s="147">
        <v>1</v>
      </c>
      <c r="D7" s="172">
        <v>29</v>
      </c>
      <c r="E7" s="172">
        <v>29</v>
      </c>
      <c r="F7" s="172">
        <v>29</v>
      </c>
      <c r="G7" s="172">
        <v>29</v>
      </c>
      <c r="H7" s="172">
        <v>29</v>
      </c>
      <c r="J7" s="218" t="s">
        <v>387</v>
      </c>
      <c r="K7" s="219" t="s">
        <v>388</v>
      </c>
    </row>
    <row r="8" spans="1:11" ht="15.75" customHeight="1" x14ac:dyDescent="0.2">
      <c r="A8" s="217"/>
      <c r="B8" s="150" t="s">
        <v>354</v>
      </c>
      <c r="C8" s="151">
        <v>2</v>
      </c>
      <c r="D8" s="172" t="s">
        <v>389</v>
      </c>
      <c r="E8" s="172">
        <v>26</v>
      </c>
      <c r="F8" s="172">
        <v>26</v>
      </c>
      <c r="G8" s="172">
        <v>26</v>
      </c>
      <c r="H8" s="172">
        <v>26</v>
      </c>
      <c r="J8" s="218"/>
      <c r="K8" s="218"/>
    </row>
    <row r="9" spans="1:11" ht="15.75" customHeight="1" x14ac:dyDescent="0.2">
      <c r="A9" s="217"/>
      <c r="B9" s="152" t="s">
        <v>355</v>
      </c>
      <c r="C9" s="153">
        <v>3</v>
      </c>
      <c r="D9" s="172">
        <v>32</v>
      </c>
      <c r="E9" s="172">
        <v>32</v>
      </c>
      <c r="F9" s="172">
        <v>32</v>
      </c>
      <c r="G9" s="172">
        <v>32</v>
      </c>
      <c r="H9" s="172">
        <v>32</v>
      </c>
      <c r="J9" s="218"/>
      <c r="K9" s="218"/>
    </row>
    <row r="10" spans="1:11" ht="12.75" customHeight="1" x14ac:dyDescent="0.2"/>
    <row r="11" spans="1:11" ht="15" customHeight="1" x14ac:dyDescent="0.2">
      <c r="B11" t="s">
        <v>349</v>
      </c>
      <c r="D11" s="173">
        <f>D12</f>
        <v>79</v>
      </c>
      <c r="E11" s="173">
        <f>E12</f>
        <v>79</v>
      </c>
      <c r="F11" s="173">
        <f>F12</f>
        <v>79</v>
      </c>
      <c r="G11" s="173">
        <f>G12</f>
        <v>79</v>
      </c>
      <c r="H11" s="173">
        <f>H12</f>
        <v>79</v>
      </c>
    </row>
    <row r="12" spans="1:11" ht="15.75" customHeight="1" x14ac:dyDescent="0.2">
      <c r="A12" s="217" t="s">
        <v>390</v>
      </c>
      <c r="B12" s="146" t="s">
        <v>351</v>
      </c>
      <c r="C12" s="147">
        <v>1</v>
      </c>
      <c r="D12" s="172">
        <v>79</v>
      </c>
      <c r="E12" s="172">
        <v>79</v>
      </c>
      <c r="F12" s="172">
        <v>79</v>
      </c>
      <c r="G12" s="172">
        <v>79</v>
      </c>
      <c r="H12" s="172">
        <v>79</v>
      </c>
      <c r="J12" s="218" t="s">
        <v>391</v>
      </c>
      <c r="K12" s="219" t="s">
        <v>392</v>
      </c>
    </row>
    <row r="13" spans="1:11" ht="15.75" customHeight="1" x14ac:dyDescent="0.2">
      <c r="A13" s="217"/>
      <c r="B13" s="150" t="s">
        <v>354</v>
      </c>
      <c r="C13" s="151">
        <v>2</v>
      </c>
      <c r="D13" s="172">
        <v>74</v>
      </c>
      <c r="E13" s="172">
        <v>74</v>
      </c>
      <c r="F13" s="172">
        <v>74</v>
      </c>
      <c r="G13" s="172">
        <v>74</v>
      </c>
      <c r="H13" s="172">
        <v>74</v>
      </c>
      <c r="J13" s="218"/>
      <c r="K13" s="218"/>
    </row>
    <row r="14" spans="1:11" ht="15.75" customHeight="1" x14ac:dyDescent="0.2">
      <c r="A14" s="217"/>
      <c r="B14" s="152" t="s">
        <v>355</v>
      </c>
      <c r="C14" s="153">
        <v>3</v>
      </c>
      <c r="D14" s="172">
        <v>84</v>
      </c>
      <c r="E14" s="172">
        <v>84</v>
      </c>
      <c r="F14" s="172">
        <v>84</v>
      </c>
      <c r="G14" s="172">
        <v>84</v>
      </c>
      <c r="H14" s="172">
        <v>84</v>
      </c>
      <c r="J14" s="218"/>
      <c r="K14" s="218"/>
    </row>
    <row r="15" spans="1:11" s="158" customFormat="1" ht="15.75" customHeight="1" x14ac:dyDescent="0.2">
      <c r="A15" s="161"/>
      <c r="B15" s="162"/>
      <c r="C15" s="163"/>
      <c r="D15" s="174"/>
      <c r="E15" s="174"/>
      <c r="F15" s="174"/>
      <c r="G15" s="174"/>
      <c r="H15" s="174"/>
      <c r="J15" s="165"/>
      <c r="K15" s="165"/>
    </row>
    <row r="16" spans="1:11" ht="15.75" customHeight="1" x14ac:dyDescent="0.2">
      <c r="A16" s="145"/>
      <c r="B16" s="152" t="s">
        <v>349</v>
      </c>
      <c r="C16" s="153"/>
      <c r="D16" s="175">
        <f>D17</f>
        <v>77</v>
      </c>
      <c r="E16" s="175">
        <f>E17</f>
        <v>77</v>
      </c>
      <c r="F16" s="175">
        <f>F17</f>
        <v>77</v>
      </c>
      <c r="G16" s="175">
        <f>G17</f>
        <v>77</v>
      </c>
      <c r="H16" s="175">
        <f>H17</f>
        <v>77</v>
      </c>
      <c r="J16" s="149"/>
      <c r="K16" s="149"/>
    </row>
    <row r="17" spans="1:11" ht="15.75" customHeight="1" x14ac:dyDescent="0.2">
      <c r="A17" s="217" t="s">
        <v>393</v>
      </c>
      <c r="B17" s="146" t="s">
        <v>351</v>
      </c>
      <c r="C17" s="147">
        <v>1</v>
      </c>
      <c r="D17" s="172">
        <v>77</v>
      </c>
      <c r="E17" s="172">
        <v>77</v>
      </c>
      <c r="F17" s="172">
        <v>77</v>
      </c>
      <c r="G17" s="172">
        <v>77</v>
      </c>
      <c r="H17" s="172">
        <v>77</v>
      </c>
      <c r="J17" s="218" t="s">
        <v>394</v>
      </c>
      <c r="K17" s="219" t="s">
        <v>395</v>
      </c>
    </row>
    <row r="18" spans="1:11" ht="15.75" customHeight="1" x14ac:dyDescent="0.2">
      <c r="A18" s="217"/>
      <c r="B18" s="150" t="s">
        <v>354</v>
      </c>
      <c r="C18" s="151">
        <v>2</v>
      </c>
      <c r="D18" s="172">
        <v>82</v>
      </c>
      <c r="E18" s="172">
        <v>82</v>
      </c>
      <c r="F18" s="172">
        <v>82</v>
      </c>
      <c r="G18" s="172">
        <v>82</v>
      </c>
      <c r="H18" s="172">
        <v>82</v>
      </c>
      <c r="J18" s="218"/>
      <c r="K18" s="218"/>
    </row>
    <row r="19" spans="1:11" ht="15.75" customHeight="1" x14ac:dyDescent="0.2">
      <c r="A19" s="217"/>
      <c r="B19" s="152" t="s">
        <v>355</v>
      </c>
      <c r="C19" s="153">
        <v>3</v>
      </c>
      <c r="D19" s="172">
        <v>70</v>
      </c>
      <c r="E19" s="172">
        <v>70</v>
      </c>
      <c r="F19" s="172">
        <v>70</v>
      </c>
      <c r="G19" s="172">
        <v>70</v>
      </c>
      <c r="H19" s="172">
        <v>70</v>
      </c>
      <c r="J19" s="218"/>
      <c r="K19" s="218"/>
    </row>
    <row r="20" spans="1:11" ht="15.75" customHeight="1" x14ac:dyDescent="0.2">
      <c r="A20" s="176"/>
      <c r="B20" s="177"/>
      <c r="C20" s="178"/>
      <c r="D20" s="179"/>
      <c r="E20" s="179"/>
      <c r="F20" s="179"/>
      <c r="G20" s="179"/>
      <c r="H20" s="179"/>
      <c r="J20" s="180"/>
      <c r="K20" s="180"/>
    </row>
    <row r="21" spans="1:11" ht="15.75" customHeight="1" x14ac:dyDescent="0.2">
      <c r="A21" s="176"/>
      <c r="B21" s="177" t="s">
        <v>349</v>
      </c>
      <c r="C21" s="178"/>
      <c r="D21" s="143">
        <f>D22</f>
        <v>1.2E-2</v>
      </c>
      <c r="E21" s="143">
        <f>E22</f>
        <v>1.2E-2</v>
      </c>
      <c r="F21" s="143">
        <f>F22</f>
        <v>1.2E-2</v>
      </c>
      <c r="G21" s="143">
        <f>G22</f>
        <v>1.2E-2</v>
      </c>
      <c r="H21" s="143">
        <f>H22</f>
        <v>1.2E-2</v>
      </c>
      <c r="J21" s="180"/>
      <c r="K21" s="180"/>
    </row>
    <row r="22" spans="1:11" ht="15.75" customHeight="1" x14ac:dyDescent="0.2">
      <c r="A22" s="217" t="s">
        <v>396</v>
      </c>
      <c r="B22" s="146" t="s">
        <v>351</v>
      </c>
      <c r="C22" s="147">
        <v>1</v>
      </c>
      <c r="D22" s="148">
        <v>1.2E-2</v>
      </c>
      <c r="E22" s="148">
        <v>1.2E-2</v>
      </c>
      <c r="F22" s="148">
        <v>1.2E-2</v>
      </c>
      <c r="G22" s="148">
        <v>1.2E-2</v>
      </c>
      <c r="H22" s="148">
        <v>1.2E-2</v>
      </c>
      <c r="J22" s="218" t="s">
        <v>397</v>
      </c>
      <c r="K22" s="219" t="s">
        <v>398</v>
      </c>
    </row>
    <row r="23" spans="1:11" ht="15.75" customHeight="1" x14ac:dyDescent="0.2">
      <c r="A23" s="217"/>
      <c r="B23" s="150" t="s">
        <v>354</v>
      </c>
      <c r="C23" s="151">
        <v>2</v>
      </c>
      <c r="D23" s="148">
        <v>1.0999999999999999E-2</v>
      </c>
      <c r="E23" s="148">
        <v>1.0999999999999999E-2</v>
      </c>
      <c r="F23" s="148">
        <v>1.0999999999999999E-2</v>
      </c>
      <c r="G23" s="148">
        <v>1.0999999999999999E-2</v>
      </c>
      <c r="H23" s="148">
        <v>1.0999999999999999E-2</v>
      </c>
      <c r="J23" s="218"/>
      <c r="K23" s="218"/>
    </row>
    <row r="24" spans="1:11" ht="15.75" customHeight="1" x14ac:dyDescent="0.2">
      <c r="A24" s="217"/>
      <c r="B24" s="152" t="s">
        <v>355</v>
      </c>
      <c r="C24" s="153">
        <v>3</v>
      </c>
      <c r="D24" s="148">
        <v>1.4E-2</v>
      </c>
      <c r="E24" s="148">
        <v>1.4E-2</v>
      </c>
      <c r="F24" s="148">
        <v>1.4E-2</v>
      </c>
      <c r="G24" s="148">
        <v>1.4E-2</v>
      </c>
      <c r="H24" s="148">
        <v>1.4E-2</v>
      </c>
      <c r="J24" s="218"/>
      <c r="K24" s="218"/>
    </row>
    <row r="25" spans="1:11" ht="15.75" customHeight="1" x14ac:dyDescent="0.2"/>
    <row r="26" spans="1:11" ht="13.5" customHeight="1" x14ac:dyDescent="0.2">
      <c r="B26" t="s">
        <v>349</v>
      </c>
      <c r="D26" s="181">
        <f>D27</f>
        <v>2.5000000000000001E-2</v>
      </c>
      <c r="E26" s="181">
        <f>E27</f>
        <v>2.5000000000000001E-2</v>
      </c>
      <c r="F26" s="181">
        <f>F27</f>
        <v>2.5000000000000001E-2</v>
      </c>
      <c r="G26" s="181">
        <f>G27</f>
        <v>2.5000000000000001E-2</v>
      </c>
      <c r="H26" s="181">
        <f>H27</f>
        <v>2.5000000000000001E-2</v>
      </c>
    </row>
    <row r="27" spans="1:11" ht="15.75" customHeight="1" x14ac:dyDescent="0.2">
      <c r="A27" s="217" t="s">
        <v>399</v>
      </c>
      <c r="B27" s="146" t="s">
        <v>351</v>
      </c>
      <c r="C27" s="147">
        <v>1</v>
      </c>
      <c r="D27" s="148">
        <v>2.5000000000000001E-2</v>
      </c>
      <c r="E27" s="148">
        <v>2.5000000000000001E-2</v>
      </c>
      <c r="F27" s="148">
        <v>2.5000000000000001E-2</v>
      </c>
      <c r="G27" s="148">
        <v>2.5000000000000001E-2</v>
      </c>
      <c r="H27" s="148">
        <v>2.5000000000000001E-2</v>
      </c>
      <c r="J27" s="218" t="s">
        <v>397</v>
      </c>
      <c r="K27" s="219" t="s">
        <v>398</v>
      </c>
    </row>
    <row r="28" spans="1:11" ht="15.75" customHeight="1" x14ac:dyDescent="0.2">
      <c r="A28" s="217"/>
      <c r="B28" s="150" t="s">
        <v>354</v>
      </c>
      <c r="C28" s="151">
        <v>2</v>
      </c>
      <c r="D28" s="148">
        <v>2.1999999999999999E-2</v>
      </c>
      <c r="E28" s="148">
        <v>2.1999999999999999E-2</v>
      </c>
      <c r="F28" s="148">
        <v>2.1999999999999999E-2</v>
      </c>
      <c r="G28" s="148">
        <v>2.1999999999999999E-2</v>
      </c>
      <c r="H28" s="148">
        <v>2.1999999999999999E-2</v>
      </c>
      <c r="J28" s="218"/>
      <c r="K28" s="218"/>
    </row>
    <row r="29" spans="1:11" ht="15.75" customHeight="1" x14ac:dyDescent="0.2">
      <c r="A29" s="217"/>
      <c r="B29" s="152" t="s">
        <v>355</v>
      </c>
      <c r="C29" s="153">
        <v>3</v>
      </c>
      <c r="D29" s="148">
        <v>2.8000000000000001E-2</v>
      </c>
      <c r="E29" s="148">
        <v>2.8000000000000001E-2</v>
      </c>
      <c r="F29" s="148">
        <v>2.8000000000000001E-2</v>
      </c>
      <c r="G29" s="148">
        <v>2.8000000000000001E-2</v>
      </c>
      <c r="H29" s="148">
        <v>2.8000000000000001E-2</v>
      </c>
      <c r="J29" s="218"/>
      <c r="K29" s="218"/>
    </row>
    <row r="30" spans="1:11" ht="15.75" customHeight="1" x14ac:dyDescent="0.2">
      <c r="A30" s="176"/>
      <c r="B30" s="177"/>
      <c r="C30" s="178"/>
      <c r="D30" s="182"/>
      <c r="E30" s="182"/>
      <c r="F30" s="182"/>
      <c r="G30" s="182"/>
      <c r="H30" s="182"/>
      <c r="J30" s="180"/>
      <c r="K30" s="180"/>
    </row>
    <row r="31" spans="1:11" ht="15.75" customHeight="1" x14ac:dyDescent="0.2">
      <c r="A31" s="176"/>
      <c r="B31" s="177" t="s">
        <v>349</v>
      </c>
      <c r="C31" s="178"/>
      <c r="D31" s="183">
        <f>D32</f>
        <v>2.3E-2</v>
      </c>
      <c r="E31" s="183">
        <f>E32</f>
        <v>2.3E-2</v>
      </c>
      <c r="F31" s="183">
        <f>F32</f>
        <v>2.3E-2</v>
      </c>
      <c r="G31" s="183">
        <f>G32</f>
        <v>2.3E-2</v>
      </c>
      <c r="H31" s="183">
        <f>H32</f>
        <v>2.3E-2</v>
      </c>
      <c r="J31" s="180"/>
      <c r="K31" s="180"/>
    </row>
    <row r="32" spans="1:11" ht="15.75" customHeight="1" x14ac:dyDescent="0.2">
      <c r="A32" s="217" t="s">
        <v>400</v>
      </c>
      <c r="B32" s="146" t="s">
        <v>351</v>
      </c>
      <c r="C32" s="147">
        <v>1</v>
      </c>
      <c r="D32" s="148">
        <v>2.3E-2</v>
      </c>
      <c r="E32" s="148">
        <v>2.3E-2</v>
      </c>
      <c r="F32" s="148">
        <v>2.3E-2</v>
      </c>
      <c r="G32" s="148">
        <v>2.3E-2</v>
      </c>
      <c r="H32" s="148">
        <v>2.3E-2</v>
      </c>
      <c r="J32" s="218" t="s">
        <v>397</v>
      </c>
      <c r="K32" s="219" t="s">
        <v>398</v>
      </c>
    </row>
    <row r="33" spans="1:11" ht="15.75" customHeight="1" x14ac:dyDescent="0.2">
      <c r="A33" s="217"/>
      <c r="B33" s="150" t="s">
        <v>354</v>
      </c>
      <c r="C33" s="151">
        <v>2</v>
      </c>
      <c r="D33" s="148">
        <v>2.1000000000000001E-2</v>
      </c>
      <c r="E33" s="148">
        <v>2.1000000000000001E-2</v>
      </c>
      <c r="F33" s="148">
        <v>2.1000000000000001E-2</v>
      </c>
      <c r="G33" s="148">
        <v>2.1000000000000001E-2</v>
      </c>
      <c r="H33" s="148">
        <v>2.1000000000000001E-2</v>
      </c>
      <c r="J33" s="218"/>
      <c r="K33" s="218"/>
    </row>
    <row r="34" spans="1:11" ht="15.75" customHeight="1" x14ac:dyDescent="0.2">
      <c r="A34" s="217"/>
      <c r="B34" s="152" t="s">
        <v>355</v>
      </c>
      <c r="C34" s="153">
        <v>3</v>
      </c>
      <c r="D34" s="148">
        <v>2.5999999999999999E-2</v>
      </c>
      <c r="E34" s="148">
        <v>2.5999999999999999E-2</v>
      </c>
      <c r="F34" s="148">
        <v>2.5999999999999999E-2</v>
      </c>
      <c r="G34" s="148">
        <v>2.5999999999999999E-2</v>
      </c>
      <c r="H34" s="148">
        <v>2.5999999999999999E-2</v>
      </c>
      <c r="J34" s="218"/>
      <c r="K34" s="218"/>
    </row>
    <row r="35" spans="1:11" ht="6" customHeight="1" x14ac:dyDescent="0.2"/>
  </sheetData>
  <mergeCells count="24">
    <mergeCell ref="A27:A29"/>
    <mergeCell ref="J27:J29"/>
    <mergeCell ref="K27:K29"/>
    <mergeCell ref="A32:A34"/>
    <mergeCell ref="J32:J34"/>
    <mergeCell ref="K32:K34"/>
    <mergeCell ref="A17:A19"/>
    <mergeCell ref="J17:J19"/>
    <mergeCell ref="K17:K19"/>
    <mergeCell ref="A22:A24"/>
    <mergeCell ref="J22:J24"/>
    <mergeCell ref="K22:K24"/>
    <mergeCell ref="A5:K5"/>
    <mergeCell ref="A7:A9"/>
    <mergeCell ref="J7:J9"/>
    <mergeCell ref="K7:K9"/>
    <mergeCell ref="A12:A14"/>
    <mergeCell ref="J12:J14"/>
    <mergeCell ref="K12:K14"/>
    <mergeCell ref="A1:K1"/>
    <mergeCell ref="A2:K2"/>
    <mergeCell ref="D3:H3"/>
    <mergeCell ref="J3:J4"/>
    <mergeCell ref="K3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"/>
  <sheetViews>
    <sheetView showGridLines="0" zoomScaleNormal="100" workbookViewId="0">
      <selection activeCell="F6" sqref="F6"/>
    </sheetView>
  </sheetViews>
  <sheetFormatPr baseColWidth="10" defaultColWidth="8.6640625" defaultRowHeight="15" x14ac:dyDescent="0.2"/>
  <cols>
    <col min="1" max="1" width="80" customWidth="1"/>
    <col min="2" max="3" width="20" customWidth="1"/>
  </cols>
  <sheetData>
    <row r="1" spans="1:3" ht="25.5" customHeight="1" x14ac:dyDescent="0.2">
      <c r="A1" s="14" t="s">
        <v>401</v>
      </c>
      <c r="B1" s="14"/>
      <c r="C1" s="14"/>
    </row>
    <row r="3" spans="1:3" ht="18" customHeight="1" x14ac:dyDescent="0.2">
      <c r="A3" s="21" t="s">
        <v>402</v>
      </c>
      <c r="B3" s="21" t="s">
        <v>403</v>
      </c>
      <c r="C3" s="21"/>
    </row>
    <row r="4" spans="1:3" ht="18" customHeight="1" x14ac:dyDescent="0.2">
      <c r="A4" s="184" t="s">
        <v>404</v>
      </c>
      <c r="B4" s="185" t="s">
        <v>405</v>
      </c>
      <c r="C4" s="184"/>
    </row>
    <row r="5" spans="1:3" ht="18" customHeight="1" x14ac:dyDescent="0.2">
      <c r="A5" s="186" t="s">
        <v>406</v>
      </c>
      <c r="B5" s="187" t="s">
        <v>405</v>
      </c>
      <c r="C5" s="186"/>
    </row>
    <row r="6" spans="1:3" ht="18" customHeight="1" x14ac:dyDescent="0.2">
      <c r="A6" s="184" t="s">
        <v>407</v>
      </c>
      <c r="B6" s="185" t="s">
        <v>405</v>
      </c>
      <c r="C6" s="184"/>
    </row>
    <row r="7" spans="1:3" ht="18" customHeight="1" x14ac:dyDescent="0.2">
      <c r="A7" s="186" t="s">
        <v>408</v>
      </c>
      <c r="B7" s="187" t="s">
        <v>405</v>
      </c>
      <c r="C7" s="186"/>
    </row>
    <row r="8" spans="1:3" ht="18" customHeight="1" x14ac:dyDescent="0.2">
      <c r="A8" s="184" t="s">
        <v>409</v>
      </c>
      <c r="B8" s="185" t="s">
        <v>405</v>
      </c>
      <c r="C8" s="184"/>
    </row>
    <row r="9" spans="1:3" ht="18" customHeight="1" x14ac:dyDescent="0.2">
      <c r="A9" s="186" t="s">
        <v>410</v>
      </c>
      <c r="B9" s="185" t="s">
        <v>405</v>
      </c>
      <c r="C9" s="186"/>
    </row>
    <row r="10" spans="1:3" ht="15" customHeight="1" x14ac:dyDescent="0.2">
      <c r="A10" s="184" t="s">
        <v>411</v>
      </c>
      <c r="B10" s="185" t="s">
        <v>412</v>
      </c>
      <c r="C10" s="185"/>
    </row>
    <row r="11" spans="1:3" ht="15" customHeight="1" x14ac:dyDescent="0.2">
      <c r="A11" s="186" t="s">
        <v>413</v>
      </c>
      <c r="B11" s="187" t="s">
        <v>405</v>
      </c>
      <c r="C11" s="187"/>
    </row>
    <row r="12" spans="1:3" ht="15" customHeight="1" x14ac:dyDescent="0.2">
      <c r="A12" s="184" t="s">
        <v>414</v>
      </c>
      <c r="B12" s="185" t="s">
        <v>415</v>
      </c>
      <c r="C12" s="185"/>
    </row>
    <row r="13" spans="1:3" ht="15" customHeight="1" x14ac:dyDescent="0.2">
      <c r="A13" s="186" t="s">
        <v>416</v>
      </c>
      <c r="B13" s="187" t="s">
        <v>417</v>
      </c>
      <c r="C13" s="187"/>
    </row>
    <row r="14" spans="1:3" ht="15" customHeight="1" x14ac:dyDescent="0.2">
      <c r="A14" s="184" t="s">
        <v>418</v>
      </c>
      <c r="B14" s="185" t="s">
        <v>419</v>
      </c>
      <c r="C14" s="185"/>
    </row>
    <row r="15" spans="1:3" ht="15" customHeight="1" x14ac:dyDescent="0.2">
      <c r="A15" s="184" t="s">
        <v>420</v>
      </c>
      <c r="B15" s="185" t="s">
        <v>421</v>
      </c>
      <c r="C15" s="185"/>
    </row>
    <row r="16" spans="1:3" ht="15" customHeight="1" x14ac:dyDescent="0.2">
      <c r="A16" s="186" t="s">
        <v>422</v>
      </c>
      <c r="B16" s="187" t="s">
        <v>423</v>
      </c>
      <c r="C16" s="187"/>
    </row>
    <row r="17" spans="1:3" ht="15" customHeight="1" x14ac:dyDescent="0.2">
      <c r="A17" s="184" t="s">
        <v>424</v>
      </c>
      <c r="B17" s="185" t="s">
        <v>425</v>
      </c>
      <c r="C17" s="185"/>
    </row>
    <row r="18" spans="1:3" ht="15" customHeight="1" x14ac:dyDescent="0.2">
      <c r="A18" s="186" t="s">
        <v>426</v>
      </c>
      <c r="B18" s="187" t="s">
        <v>427</v>
      </c>
      <c r="C18" s="187"/>
    </row>
    <row r="19" spans="1:3" ht="15" customHeight="1" x14ac:dyDescent="0.2">
      <c r="A19" s="184" t="s">
        <v>428</v>
      </c>
      <c r="B19" s="185" t="s">
        <v>429</v>
      </c>
      <c r="C19" s="185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O54"/>
  <sheetViews>
    <sheetView zoomScaleNormal="100" workbookViewId="0">
      <selection activeCell="C58" sqref="C58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4" width="16" customWidth="1"/>
    <col min="5" max="5" width="14" customWidth="1"/>
    <col min="6" max="6" width="3" customWidth="1"/>
    <col min="7" max="7" width="22" customWidth="1"/>
    <col min="8" max="9" width="16" customWidth="1"/>
    <col min="10" max="10" width="14" customWidth="1"/>
    <col min="11" max="11" width="3" customWidth="1"/>
    <col min="12" max="12" width="22" customWidth="1"/>
    <col min="13" max="14" width="16" customWidth="1"/>
    <col min="15" max="15" width="14" customWidth="1"/>
    <col min="16" max="16" width="3" customWidth="1"/>
  </cols>
  <sheetData>
    <row r="1" spans="2:15" ht="36" customHeight="1" x14ac:dyDescent="0.2">
      <c r="B1" s="220" t="s">
        <v>430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</row>
    <row r="2" spans="2:15" ht="21.75" customHeight="1" x14ac:dyDescent="0.2">
      <c r="B2" s="221" t="s">
        <v>431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</row>
    <row r="4" spans="2:15" ht="16" x14ac:dyDescent="0.2">
      <c r="B4" s="222" t="s">
        <v>432</v>
      </c>
      <c r="C4" s="222"/>
      <c r="D4" s="222"/>
      <c r="E4" s="222"/>
      <c r="G4" s="222" t="s">
        <v>433</v>
      </c>
      <c r="H4" s="222"/>
      <c r="I4" s="222"/>
      <c r="J4" s="222"/>
    </row>
    <row r="5" spans="2:15" x14ac:dyDescent="0.2">
      <c r="B5" s="223" t="s">
        <v>434</v>
      </c>
      <c r="C5" s="223"/>
      <c r="D5" s="223"/>
      <c r="E5" s="223"/>
      <c r="G5" s="223" t="s">
        <v>435</v>
      </c>
      <c r="H5" s="223"/>
      <c r="I5" s="223"/>
      <c r="J5" s="223"/>
    </row>
    <row r="6" spans="2:15" x14ac:dyDescent="0.2">
      <c r="B6" s="188" t="s">
        <v>436</v>
      </c>
      <c r="C6" s="188" t="s">
        <v>437</v>
      </c>
      <c r="D6" s="188" t="s">
        <v>438</v>
      </c>
      <c r="E6" s="188" t="s">
        <v>439</v>
      </c>
      <c r="G6" s="188" t="s">
        <v>436</v>
      </c>
      <c r="H6" s="188" t="s">
        <v>440</v>
      </c>
      <c r="I6" s="188" t="s">
        <v>438</v>
      </c>
      <c r="J6" s="188" t="s">
        <v>441</v>
      </c>
    </row>
    <row r="7" spans="2:15" x14ac:dyDescent="0.2">
      <c r="B7" s="189" t="s">
        <v>442</v>
      </c>
      <c r="C7" s="190">
        <v>1694703</v>
      </c>
      <c r="D7" s="190">
        <v>3554985</v>
      </c>
      <c r="E7" s="191">
        <v>0.47699999999999998</v>
      </c>
      <c r="G7" s="189" t="s">
        <v>442</v>
      </c>
      <c r="H7" s="190">
        <v>982706</v>
      </c>
      <c r="I7" s="190">
        <v>3554985</v>
      </c>
      <c r="J7" s="191">
        <v>0.27600000000000002</v>
      </c>
    </row>
    <row r="8" spans="2:15" x14ac:dyDescent="0.2">
      <c r="B8" s="192" t="s">
        <v>443</v>
      </c>
      <c r="C8" s="193">
        <v>1752337</v>
      </c>
      <c r="D8" s="193">
        <v>3962347</v>
      </c>
      <c r="E8" s="194">
        <v>0.442</v>
      </c>
      <c r="G8" s="192" t="s">
        <v>443</v>
      </c>
      <c r="H8" s="193">
        <v>1151064</v>
      </c>
      <c r="I8" s="193">
        <v>3962347</v>
      </c>
      <c r="J8" s="194">
        <v>0.29099999999999998</v>
      </c>
    </row>
    <row r="9" spans="2:15" x14ac:dyDescent="0.2">
      <c r="B9" s="189" t="s">
        <v>444</v>
      </c>
      <c r="C9" s="190">
        <v>1691850</v>
      </c>
      <c r="D9" s="190">
        <v>4102108</v>
      </c>
      <c r="E9" s="191">
        <v>0.41199999999999998</v>
      </c>
      <c r="G9" s="189" t="s">
        <v>444</v>
      </c>
      <c r="H9" s="190">
        <v>1338032</v>
      </c>
      <c r="I9" s="190">
        <v>4102108</v>
      </c>
      <c r="J9" s="191">
        <v>0.32600000000000001</v>
      </c>
    </row>
    <row r="10" spans="2:15" x14ac:dyDescent="0.2">
      <c r="B10" s="192" t="s">
        <v>445</v>
      </c>
      <c r="C10" s="193">
        <v>1683592</v>
      </c>
      <c r="D10" s="193">
        <v>4040647</v>
      </c>
      <c r="E10" s="194">
        <v>0.41699999999999998</v>
      </c>
      <c r="G10" s="192" t="s">
        <v>445</v>
      </c>
      <c r="H10" s="193">
        <v>1435580</v>
      </c>
      <c r="I10" s="193">
        <v>4040647</v>
      </c>
      <c r="J10" s="194">
        <v>0.35499999999999998</v>
      </c>
    </row>
    <row r="11" spans="2:15" x14ac:dyDescent="0.2">
      <c r="B11" s="195" t="s">
        <v>446</v>
      </c>
      <c r="C11" s="196"/>
      <c r="D11" s="196"/>
      <c r="E11" s="197">
        <v>0.44400000000000001</v>
      </c>
      <c r="G11" s="195" t="s">
        <v>446</v>
      </c>
      <c r="H11" s="196"/>
      <c r="I11" s="196"/>
      <c r="J11" s="197">
        <v>0.29799999999999999</v>
      </c>
    </row>
    <row r="12" spans="2:15" ht="30" customHeight="1" x14ac:dyDescent="0.2">
      <c r="B12" s="224" t="s">
        <v>447</v>
      </c>
      <c r="C12" s="224"/>
      <c r="D12" s="224"/>
      <c r="E12" s="224"/>
      <c r="G12" s="225" t="s">
        <v>448</v>
      </c>
      <c r="H12" s="225"/>
      <c r="I12" s="225"/>
      <c r="J12" s="225"/>
    </row>
    <row r="14" spans="2:15" ht="9.75" customHeight="1" x14ac:dyDescent="0.2"/>
    <row r="15" spans="2:15" ht="16" x14ac:dyDescent="0.2">
      <c r="B15" s="222" t="s">
        <v>449</v>
      </c>
      <c r="C15" s="222"/>
      <c r="D15" s="222"/>
      <c r="E15" s="222"/>
      <c r="G15" s="222" t="s">
        <v>450</v>
      </c>
      <c r="H15" s="222"/>
      <c r="I15" s="222"/>
      <c r="J15" s="222"/>
    </row>
    <row r="16" spans="2:15" x14ac:dyDescent="0.2">
      <c r="B16" s="223" t="s">
        <v>451</v>
      </c>
      <c r="C16" s="223"/>
      <c r="D16" s="223"/>
      <c r="E16" s="223"/>
      <c r="G16" s="223" t="s">
        <v>452</v>
      </c>
      <c r="H16" s="223"/>
      <c r="I16" s="223"/>
      <c r="J16" s="223"/>
    </row>
    <row r="17" spans="2:15" x14ac:dyDescent="0.2">
      <c r="B17" s="188" t="s">
        <v>436</v>
      </c>
      <c r="C17" s="188" t="s">
        <v>453</v>
      </c>
      <c r="D17" s="188" t="s">
        <v>438</v>
      </c>
      <c r="E17" s="188" t="s">
        <v>454</v>
      </c>
      <c r="G17" s="188" t="s">
        <v>436</v>
      </c>
      <c r="H17" s="188" t="s">
        <v>455</v>
      </c>
      <c r="I17" s="188" t="s">
        <v>438</v>
      </c>
      <c r="J17" s="188" t="s">
        <v>456</v>
      </c>
    </row>
    <row r="18" spans="2:15" x14ac:dyDescent="0.2">
      <c r="B18" s="189" t="s">
        <v>442</v>
      </c>
      <c r="C18" s="190">
        <v>39229</v>
      </c>
      <c r="D18" s="190">
        <v>3554985</v>
      </c>
      <c r="E18" s="191">
        <v>1.0999999999999999E-2</v>
      </c>
      <c r="G18" s="189" t="s">
        <v>442</v>
      </c>
      <c r="H18" s="190">
        <v>104190</v>
      </c>
      <c r="I18" s="190">
        <v>3554985</v>
      </c>
      <c r="J18" s="191">
        <v>2.9000000000000001E-2</v>
      </c>
    </row>
    <row r="19" spans="2:15" x14ac:dyDescent="0.2">
      <c r="B19" s="192" t="s">
        <v>443</v>
      </c>
      <c r="C19" s="193">
        <v>54304</v>
      </c>
      <c r="D19" s="193">
        <v>3962347</v>
      </c>
      <c r="E19" s="194">
        <v>1.4E-2</v>
      </c>
      <c r="G19" s="192" t="s">
        <v>443</v>
      </c>
      <c r="H19" s="193">
        <v>115625</v>
      </c>
      <c r="I19" s="193">
        <v>3962347</v>
      </c>
      <c r="J19" s="194">
        <v>2.9000000000000001E-2</v>
      </c>
    </row>
    <row r="20" spans="2:15" x14ac:dyDescent="0.2">
      <c r="B20" s="189" t="s">
        <v>444</v>
      </c>
      <c r="C20" s="190">
        <v>69840</v>
      </c>
      <c r="D20" s="190">
        <v>4102108</v>
      </c>
      <c r="E20" s="191">
        <v>1.7000000000000001E-2</v>
      </c>
      <c r="G20" s="189" t="s">
        <v>444</v>
      </c>
      <c r="H20" s="190">
        <v>169347</v>
      </c>
      <c r="I20" s="190">
        <v>4102108</v>
      </c>
      <c r="J20" s="191">
        <v>4.1000000000000002E-2</v>
      </c>
    </row>
    <row r="21" spans="2:15" x14ac:dyDescent="0.2">
      <c r="B21" s="192" t="s">
        <v>445</v>
      </c>
      <c r="C21" s="193">
        <v>79282</v>
      </c>
      <c r="D21" s="193">
        <v>4040647</v>
      </c>
      <c r="E21" s="194">
        <v>0.02</v>
      </c>
      <c r="G21" s="192" t="s">
        <v>445</v>
      </c>
      <c r="H21" s="193">
        <v>51365</v>
      </c>
      <c r="I21" s="193">
        <v>4040647</v>
      </c>
      <c r="J21" s="194">
        <v>1.2999999999999999E-2</v>
      </c>
    </row>
    <row r="22" spans="2:15" x14ac:dyDescent="0.2">
      <c r="B22" s="195" t="s">
        <v>446</v>
      </c>
      <c r="C22" s="196"/>
      <c r="D22" s="196"/>
      <c r="E22" s="197">
        <v>1.4E-2</v>
      </c>
      <c r="G22" s="195" t="s">
        <v>446</v>
      </c>
      <c r="H22" s="196"/>
      <c r="I22" s="196"/>
      <c r="J22" s="197">
        <v>3.3000000000000002E-2</v>
      </c>
    </row>
    <row r="23" spans="2:15" ht="30" customHeight="1" x14ac:dyDescent="0.2">
      <c r="B23" s="225" t="s">
        <v>457</v>
      </c>
      <c r="C23" s="225"/>
      <c r="D23" s="225"/>
      <c r="E23" s="225"/>
      <c r="G23" s="224" t="s">
        <v>458</v>
      </c>
      <c r="H23" s="224"/>
      <c r="I23" s="224"/>
      <c r="J23" s="224"/>
    </row>
    <row r="25" spans="2:15" ht="9.75" customHeight="1" x14ac:dyDescent="0.2"/>
    <row r="26" spans="2:15" ht="27.75" customHeight="1" x14ac:dyDescent="0.2">
      <c r="B26" s="226" t="s">
        <v>459</v>
      </c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</row>
    <row r="27" spans="2:15" x14ac:dyDescent="0.2">
      <c r="B27" s="227" t="s">
        <v>460</v>
      </c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</row>
    <row r="28" spans="2:15" x14ac:dyDescent="0.2">
      <c r="B28" s="188" t="s">
        <v>436</v>
      </c>
      <c r="C28" s="188" t="s">
        <v>438</v>
      </c>
      <c r="D28" s="188" t="s">
        <v>461</v>
      </c>
      <c r="E28" s="228" t="s">
        <v>462</v>
      </c>
      <c r="F28" s="228"/>
      <c r="G28" s="228"/>
      <c r="H28" s="228"/>
      <c r="I28" s="228"/>
      <c r="J28" s="228"/>
    </row>
    <row r="29" spans="2:15" x14ac:dyDescent="0.2">
      <c r="B29" s="198" t="s">
        <v>463</v>
      </c>
      <c r="C29" s="199">
        <v>1385951</v>
      </c>
      <c r="D29" s="200" t="s">
        <v>464</v>
      </c>
      <c r="E29" s="229" t="s">
        <v>465</v>
      </c>
      <c r="F29" s="229"/>
      <c r="G29" s="229"/>
      <c r="H29" s="229"/>
      <c r="I29" s="229"/>
      <c r="J29" s="229"/>
    </row>
    <row r="30" spans="2:15" x14ac:dyDescent="0.2">
      <c r="B30" s="201" t="s">
        <v>466</v>
      </c>
      <c r="C30" s="202">
        <v>2313416</v>
      </c>
      <c r="D30" s="203">
        <v>0.66900000000000004</v>
      </c>
      <c r="E30" s="230" t="s">
        <v>467</v>
      </c>
      <c r="F30" s="230"/>
      <c r="G30" s="230"/>
      <c r="H30" s="230"/>
      <c r="I30" s="230"/>
      <c r="J30" s="230"/>
    </row>
    <row r="31" spans="2:15" x14ac:dyDescent="0.2">
      <c r="B31" s="198" t="s">
        <v>442</v>
      </c>
      <c r="C31" s="199">
        <v>3554985</v>
      </c>
      <c r="D31" s="204">
        <v>0.53700000000000003</v>
      </c>
      <c r="E31" s="229" t="s">
        <v>468</v>
      </c>
      <c r="F31" s="229"/>
      <c r="G31" s="229"/>
      <c r="H31" s="229"/>
      <c r="I31" s="229"/>
      <c r="J31" s="229"/>
    </row>
    <row r="32" spans="2:15" x14ac:dyDescent="0.2">
      <c r="B32" s="201" t="s">
        <v>443</v>
      </c>
      <c r="C32" s="202">
        <v>3962347</v>
      </c>
      <c r="D32" s="203">
        <v>0.115</v>
      </c>
      <c r="E32" s="230" t="s">
        <v>469</v>
      </c>
      <c r="F32" s="230"/>
      <c r="G32" s="230"/>
      <c r="H32" s="230"/>
      <c r="I32" s="230"/>
      <c r="J32" s="230"/>
    </row>
    <row r="33" spans="2:11" x14ac:dyDescent="0.2">
      <c r="B33" s="198" t="s">
        <v>444</v>
      </c>
      <c r="C33" s="199">
        <v>4102108</v>
      </c>
      <c r="D33" s="204">
        <v>3.5000000000000003E-2</v>
      </c>
      <c r="E33" s="229" t="s">
        <v>470</v>
      </c>
      <c r="F33" s="229"/>
      <c r="G33" s="229"/>
      <c r="H33" s="229"/>
      <c r="I33" s="229"/>
      <c r="J33" s="229"/>
    </row>
    <row r="34" spans="2:11" x14ac:dyDescent="0.2">
      <c r="B34" s="201" t="s">
        <v>445</v>
      </c>
      <c r="C34" s="202">
        <v>4040647</v>
      </c>
      <c r="D34" s="205">
        <v>-1.4999999999999999E-2</v>
      </c>
      <c r="E34" s="230" t="s">
        <v>471</v>
      </c>
      <c r="F34" s="230"/>
      <c r="G34" s="230"/>
      <c r="H34" s="230"/>
      <c r="I34" s="230"/>
      <c r="J34" s="230"/>
    </row>
    <row r="36" spans="2:11" x14ac:dyDescent="0.2">
      <c r="B36" s="206" t="s">
        <v>472</v>
      </c>
      <c r="C36" s="207">
        <f>(4040647/3554985)^(1/3)-1</f>
        <v>4.3608752705443843E-2</v>
      </c>
      <c r="E36" s="231" t="s">
        <v>473</v>
      </c>
      <c r="F36" s="231"/>
      <c r="G36" s="231"/>
      <c r="H36" s="231"/>
      <c r="I36" s="231"/>
      <c r="J36" s="231"/>
    </row>
    <row r="37" spans="2:11" x14ac:dyDescent="0.2">
      <c r="B37" s="206" t="s">
        <v>474</v>
      </c>
      <c r="C37" s="207">
        <f>(4040647/3962347)^(1/2)-1</f>
        <v>9.8321718869958108E-3</v>
      </c>
      <c r="E37" s="231" t="s">
        <v>475</v>
      </c>
      <c r="F37" s="231"/>
      <c r="G37" s="231"/>
      <c r="H37" s="231"/>
      <c r="I37" s="231"/>
      <c r="J37" s="231"/>
    </row>
    <row r="38" spans="2:11" x14ac:dyDescent="0.2">
      <c r="B38" s="206" t="s">
        <v>476</v>
      </c>
      <c r="C38" s="208">
        <v>4.2999999999999997E-2</v>
      </c>
      <c r="E38" s="231" t="s">
        <v>477</v>
      </c>
      <c r="F38" s="231"/>
      <c r="G38" s="231"/>
      <c r="H38" s="231"/>
      <c r="I38" s="231"/>
      <c r="J38" s="231"/>
    </row>
    <row r="39" spans="2:11" x14ac:dyDescent="0.2">
      <c r="B39" s="206" t="s">
        <v>478</v>
      </c>
      <c r="C39" s="207" t="s">
        <v>479</v>
      </c>
      <c r="E39" s="231" t="s">
        <v>480</v>
      </c>
      <c r="F39" s="231"/>
      <c r="G39" s="231"/>
      <c r="H39" s="231"/>
      <c r="I39" s="231"/>
      <c r="J39" s="231"/>
    </row>
    <row r="41" spans="2:11" ht="21.75" customHeight="1" x14ac:dyDescent="0.2">
      <c r="B41" s="232" t="s">
        <v>481</v>
      </c>
      <c r="C41" s="232"/>
      <c r="D41" s="232"/>
      <c r="E41" s="232"/>
      <c r="F41" s="232"/>
      <c r="G41" s="232"/>
      <c r="H41" s="232"/>
      <c r="I41" s="232"/>
      <c r="J41" s="232"/>
    </row>
    <row r="42" spans="2:11" ht="15" customHeight="1" x14ac:dyDescent="0.2">
      <c r="B42" s="198" t="s">
        <v>482</v>
      </c>
      <c r="C42" s="209">
        <v>-0.01</v>
      </c>
      <c r="E42" s="233" t="s">
        <v>483</v>
      </c>
      <c r="F42" s="233"/>
      <c r="G42" s="233"/>
      <c r="H42" s="233"/>
      <c r="I42" s="233"/>
      <c r="J42" s="233"/>
    </row>
    <row r="43" spans="2:11" ht="15" customHeight="1" x14ac:dyDescent="0.2">
      <c r="B43" s="201" t="s">
        <v>484</v>
      </c>
      <c r="C43" s="210">
        <v>0.01</v>
      </c>
      <c r="E43" s="234" t="s">
        <v>485</v>
      </c>
      <c r="F43" s="234"/>
      <c r="G43" s="234"/>
      <c r="H43" s="234"/>
      <c r="I43" s="234"/>
      <c r="J43" s="234"/>
    </row>
    <row r="44" spans="2:11" ht="15" customHeight="1" x14ac:dyDescent="0.2">
      <c r="B44" s="198" t="s">
        <v>486</v>
      </c>
      <c r="C44" s="211">
        <v>2.5000000000000001E-2</v>
      </c>
      <c r="E44" s="233" t="s">
        <v>487</v>
      </c>
      <c r="F44" s="233"/>
      <c r="G44" s="233"/>
      <c r="H44" s="233"/>
      <c r="I44" s="233"/>
      <c r="J44" s="233"/>
    </row>
    <row r="45" spans="2:11" ht="15" customHeight="1" x14ac:dyDescent="0.2">
      <c r="B45" s="201" t="s">
        <v>488</v>
      </c>
      <c r="C45" s="210">
        <v>3.5000000000000003E-2</v>
      </c>
      <c r="E45" s="234" t="s">
        <v>489</v>
      </c>
      <c r="F45" s="234"/>
      <c r="G45" s="234"/>
      <c r="H45" s="234"/>
      <c r="I45" s="234"/>
      <c r="J45" s="234"/>
    </row>
    <row r="46" spans="2:11" ht="15" customHeight="1" x14ac:dyDescent="0.2">
      <c r="B46" s="198" t="s">
        <v>490</v>
      </c>
      <c r="C46" s="211">
        <v>4.2999999999999997E-2</v>
      </c>
      <c r="E46" s="233" t="s">
        <v>491</v>
      </c>
      <c r="F46" s="233"/>
      <c r="G46" s="233"/>
      <c r="H46" s="233"/>
      <c r="I46" s="233"/>
      <c r="J46" s="233"/>
    </row>
    <row r="48" spans="2:11" ht="21.75" customHeight="1" x14ac:dyDescent="0.2">
      <c r="B48" s="235" t="s">
        <v>502</v>
      </c>
      <c r="C48" s="235"/>
      <c r="D48" s="235"/>
      <c r="E48" s="235"/>
      <c r="F48" s="235"/>
      <c r="G48" s="236" t="s">
        <v>501</v>
      </c>
      <c r="H48" s="236"/>
      <c r="I48" s="236"/>
      <c r="J48" s="236"/>
      <c r="K48" s="236"/>
    </row>
    <row r="49" spans="2:15" ht="27.75" customHeight="1" x14ac:dyDescent="0.2">
      <c r="B49" s="237" t="s">
        <v>492</v>
      </c>
      <c r="C49" s="237"/>
      <c r="D49" s="237"/>
      <c r="E49" s="237"/>
      <c r="F49" s="237"/>
      <c r="G49" s="238" t="s">
        <v>493</v>
      </c>
      <c r="H49" s="238"/>
      <c r="I49" s="238"/>
      <c r="J49" s="238"/>
      <c r="K49" s="238"/>
    </row>
    <row r="50" spans="2:15" ht="27.75" customHeight="1" x14ac:dyDescent="0.2">
      <c r="B50" s="237" t="s">
        <v>494</v>
      </c>
      <c r="C50" s="237"/>
      <c r="D50" s="237"/>
      <c r="E50" s="237"/>
      <c r="F50" s="237"/>
      <c r="G50" s="238" t="s">
        <v>495</v>
      </c>
      <c r="H50" s="238"/>
      <c r="I50" s="238"/>
      <c r="J50" s="238"/>
      <c r="K50" s="238"/>
    </row>
    <row r="51" spans="2:15" ht="27.75" customHeight="1" x14ac:dyDescent="0.2">
      <c r="B51" s="237" t="s">
        <v>496</v>
      </c>
      <c r="C51" s="237"/>
      <c r="D51" s="237"/>
      <c r="E51" s="237"/>
      <c r="F51" s="237"/>
      <c r="G51" s="238" t="s">
        <v>497</v>
      </c>
      <c r="H51" s="238"/>
      <c r="I51" s="238"/>
      <c r="J51" s="238"/>
      <c r="K51" s="238"/>
    </row>
    <row r="52" spans="2:15" ht="27.75" customHeight="1" x14ac:dyDescent="0.2">
      <c r="B52" s="237" t="s">
        <v>498</v>
      </c>
      <c r="C52" s="237"/>
      <c r="D52" s="237"/>
      <c r="E52" s="237"/>
      <c r="F52" s="237"/>
      <c r="G52" s="238" t="s">
        <v>499</v>
      </c>
      <c r="H52" s="238"/>
      <c r="I52" s="238"/>
      <c r="J52" s="238"/>
      <c r="K52" s="238"/>
    </row>
    <row r="54" spans="2:15" x14ac:dyDescent="0.2">
      <c r="B54" s="239" t="s">
        <v>500</v>
      </c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</row>
  </sheetData>
  <mergeCells count="44">
    <mergeCell ref="B54:O54"/>
    <mergeCell ref="B50:F50"/>
    <mergeCell ref="G50:K50"/>
    <mergeCell ref="B51:F51"/>
    <mergeCell ref="G51:K51"/>
    <mergeCell ref="B52:F52"/>
    <mergeCell ref="G52:K52"/>
    <mergeCell ref="E46:J46"/>
    <mergeCell ref="B48:F48"/>
    <mergeCell ref="G48:K48"/>
    <mergeCell ref="B49:F49"/>
    <mergeCell ref="G49:K49"/>
    <mergeCell ref="B41:J41"/>
    <mergeCell ref="E42:J42"/>
    <mergeCell ref="E43:J43"/>
    <mergeCell ref="E44:J44"/>
    <mergeCell ref="E45:J45"/>
    <mergeCell ref="E34:J34"/>
    <mergeCell ref="E36:J36"/>
    <mergeCell ref="E37:J37"/>
    <mergeCell ref="E38:J38"/>
    <mergeCell ref="E39:J39"/>
    <mergeCell ref="E29:J29"/>
    <mergeCell ref="E30:J30"/>
    <mergeCell ref="E31:J31"/>
    <mergeCell ref="E32:J32"/>
    <mergeCell ref="E33:J33"/>
    <mergeCell ref="B23:E23"/>
    <mergeCell ref="G23:J23"/>
    <mergeCell ref="B26:O26"/>
    <mergeCell ref="B27:O27"/>
    <mergeCell ref="E28:J28"/>
    <mergeCell ref="B12:E12"/>
    <mergeCell ref="G12:J12"/>
    <mergeCell ref="B15:E15"/>
    <mergeCell ref="G15:J15"/>
    <mergeCell ref="B16:E16"/>
    <mergeCell ref="G16:J16"/>
    <mergeCell ref="B1:O1"/>
    <mergeCell ref="B2:O2"/>
    <mergeCell ref="B4:E4"/>
    <mergeCell ref="G4:J4"/>
    <mergeCell ref="B5:E5"/>
    <mergeCell ref="G5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Income Statement</vt:lpstr>
      <vt:lpstr>Balance Sheet</vt:lpstr>
      <vt:lpstr>Cash Flow Statement</vt:lpstr>
      <vt:lpstr>NWC</vt:lpstr>
      <vt:lpstr>WACC</vt:lpstr>
      <vt:lpstr>DCF</vt:lpstr>
      <vt:lpstr>Valuation Summary</vt:lpstr>
      <vt:lpstr>Comparable Companies </vt:lpstr>
      <vt:lpstr>Financial Ratios</vt:lpstr>
      <vt:lpstr>Assumptions 1</vt:lpstr>
      <vt:lpstr>Assumption 2</vt:lpstr>
      <vt:lpstr>References</vt:lpstr>
      <vt:lpstr>AS1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Soumya TIWARI</cp:lastModifiedBy>
  <cp:revision>0</cp:revision>
  <dcterms:created xsi:type="dcterms:W3CDTF">2026-03-27T01:01:52Z</dcterms:created>
  <dcterms:modified xsi:type="dcterms:W3CDTF">2026-03-29T02:20:15Z</dcterms:modified>
  <dc:language>en-US</dc:language>
</cp:coreProperties>
</file>